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bf34cbfd647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40 runs" sheetId="1" r:id="Rc34f59ddf2404763"/>
    <x:sheet xmlns:r="http://schemas.openxmlformats.org/officeDocument/2006/relationships" name="Medians" sheetId="2" r:id="Rba2135ddfdb04a2e"/>
    <x:sheet xmlns:r="http://schemas.openxmlformats.org/officeDocument/2006/relationships" name="Definitions" sheetId="3" r:id="R9bdbd1e9755948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68e0c87c654aa8" /><Relationship Type="http://schemas.openxmlformats.org/officeDocument/2006/relationships/theme" Target="/xl/theme/theme1.xml" Id="R75e8d64b7a2641a5" /><Relationship Type="http://schemas.openxmlformats.org/officeDocument/2006/relationships/sharedStrings" Target="/xl/sharedStrings.xml" Id="Rf4f6796c62fd49ce" /><Relationship Type="http://schemas.openxmlformats.org/officeDocument/2006/relationships/worksheet" Target="/xl/worksheets/sheet1.xml" Id="Rc34f59ddf2404763" /><Relationship Type="http://schemas.openxmlformats.org/officeDocument/2006/relationships/worksheet" Target="/xl/worksheets/sheet2.xml" Id="Rba2135ddfdb04a2e" /><Relationship Type="http://schemas.openxmlformats.org/officeDocument/2006/relationships/worksheet" Target="/xl/worksheets/sheet3.xml" Id="R9bdbd1e9755948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cfc8d41cb543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RAW vs HUFF: sender total_ms median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RAW total_ms</c:v>
          </c:tx>
          <c:cat>
            <c:strRef>
              <c:f>'Medians'!$S$2:$S$5</c:f>
              <c:strCache>
                <c:ptCount val="0"/>
              </c:strCache>
            </c:strRef>
          </c:cat>
          <c:val>
            <c:numRef>
              <c:f>'Medians'!$T$2:$T$5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HUFF total_ms</c:v>
          </c:tx>
          <c:cat>
            <c:strRef>
              <c:f>'Medians'!$S$2:$S$5</c:f>
              <c:strCache>
                <c:ptCount val="0"/>
              </c:strCache>
            </c:strRef>
          </c:cat>
          <c:val>
            <c:numRef>
              <c:f>'Medians'!$U$2:$U$5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7</xdr:row>
      <xdr:rowOff>0</xdr:rowOff>
    </xdr:from>
    <xdr:to>
      <xdr:col>29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cfc8d41cb543a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0ea9c49d67b41a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32" customHeight="1">
      <x:c r="A1" s="6" t="str">
        <x:v>file</x:v>
      </x:c>
      <x:c r="B1" s="6" t="str">
        <x:v>mode</x:v>
      </x:c>
      <x:c r="C1" s="6" t="str">
        <x:v>trial</x:v>
      </x:c>
      <x:c r="D1" s="6" t="str">
        <x:v>environment</x:v>
      </x:c>
      <x:c r="E1" s="6" t="str">
        <x:v>sym</x:v>
      </x:c>
      <x:c r="F1" s="6" t="str">
        <x:v>file_bytes</x:v>
      </x:c>
      <x:c r="G1" s="6" t="str">
        <x:v>wire_bytes</x:v>
      </x:c>
      <x:c r="H1" s="6" t="str">
        <x:v>ratio</x:v>
      </x:c>
      <x:c r="I1" s="6" t="str">
        <x:v>compressed_pct</x:v>
      </x:c>
      <x:c r="J1" s="6" t="str">
        <x:v>saved_pct</x:v>
      </x:c>
      <x:c r="K1" s="6" t="str">
        <x:v>encode_ms</x:v>
      </x:c>
      <x:c r="L1" s="6" t="str">
        <x:v>send_ms</x:v>
      </x:c>
      <x:c r="M1" s="6" t="str">
        <x:v>decode_ms</x:v>
      </x:c>
      <x:c r="N1" s="6" t="str">
        <x:v>sender_total_ms</x:v>
      </x:c>
      <x:c r="O1" s="6" t="str">
        <x:v>receiver_total_ms</x:v>
      </x:c>
      <x:c r="P1" s="6" t="str">
        <x:v>sender_MBps</x:v>
      </x:c>
      <x:c r="Q1" s="6" t="str">
        <x:v>receiver_MBps</x:v>
      </x:c>
    </x:row>
    <x:row r="2">
      <x:c r="A2" t="str">
        <x:v>real_chinese.txt</x:v>
      </x:c>
      <x:c r="B2" t="str">
        <x:v>raw</x:v>
      </x:c>
      <x:c r="C2" t="n">
        <x:v>1</x:v>
      </x:c>
      <x:c r="D2" t="str">
        <x:v>localhost_127.0.0.1</x:v>
      </x:c>
      <x:c r="E2" t="str">
        <x:v>none</x:v>
      </x:c>
      <x:c r="F2" t="n">
        <x:v>1200335</x:v>
      </x:c>
      <x:c r="G2" t="n">
        <x:v>1200473</x:v>
      </x:c>
      <x:c r="H2" s="8" t="n">
        <x:f>G2/F2</x:f>
        <x:v>1.0001149679047932</x:v>
      </x:c>
      <x:c r="I2" s="10" t="n">
        <x:f>H2*100</x:f>
        <x:v>100.01149679047931</x:v>
      </x:c>
      <x:c r="J2" s="10" t="n">
        <x:f>(1-H2)*100</x:f>
        <x:v>-0.011496790479315067</x:v>
      </x:c>
      <x:c r="K2" s="10" t="n">
        <x:v>0</x:v>
      </x:c>
      <x:c r="L2" s="10" t="n">
        <x:v>13.2</x:v>
      </x:c>
      <x:c r="M2" s="10" t="n">
        <x:v>0</x:v>
      </x:c>
      <x:c r="N2" s="10" t="n">
        <x:v>34.7</x:v>
      </x:c>
      <x:c r="O2" s="10" t="n">
        <x:v>33.7</x:v>
      </x:c>
      <x:c r="P2" s="10" t="n">
        <x:f>F2/(N2*1000)</x:f>
        <x:v>34.59178674351585</x:v>
      </x:c>
      <x:c r="Q2" s="10" t="n">
        <x:f>F2/(O2*1000)</x:f>
        <x:v>35.61824925816024</x:v>
      </x:c>
    </x:row>
    <x:row r="3">
      <x:c r="A3" t="str">
        <x:v>real_chinese.txt</x:v>
      </x:c>
      <x:c r="B3" t="str">
        <x:v>raw</x:v>
      </x:c>
      <x:c r="C3" t="n">
        <x:v>2</x:v>
      </x:c>
      <x:c r="D3" t="str">
        <x:v>localhost_127.0.0.1</x:v>
      </x:c>
      <x:c r="E3" t="str">
        <x:v>none</x:v>
      </x:c>
      <x:c r="F3" t="n">
        <x:v>1200335</x:v>
      </x:c>
      <x:c r="G3" t="n">
        <x:v>1200473</x:v>
      </x:c>
      <x:c r="H3" s="8" t="n">
        <x:f>G3/F3</x:f>
        <x:v>1.0001149679047932</x:v>
      </x:c>
      <x:c r="I3" s="10" t="n">
        <x:f>H3*100</x:f>
        <x:v>100.01149679047931</x:v>
      </x:c>
      <x:c r="J3" s="10" t="n">
        <x:f>(1-H3)*100</x:f>
        <x:v>-0.011496790479315067</x:v>
      </x:c>
      <x:c r="K3" s="10" t="n">
        <x:v>0</x:v>
      </x:c>
      <x:c r="L3" s="10" t="n">
        <x:v>24.6</x:v>
      </x:c>
      <x:c r="M3" s="10" t="n">
        <x:v>0</x:v>
      </x:c>
      <x:c r="N3" s="10" t="n">
        <x:v>35</x:v>
      </x:c>
      <x:c r="O3" s="10" t="n">
        <x:v>33.8</x:v>
      </x:c>
      <x:c r="P3" s="10" t="n">
        <x:f>F3/(N3*1000)</x:f>
        <x:v>34.29528571428571</x:v>
      </x:c>
      <x:c r="Q3" s="10" t="n">
        <x:f>F3/(O3*1000)</x:f>
        <x:v>35.51286982248521</x:v>
      </x:c>
    </x:row>
    <x:row r="4">
      <x:c r="A4" t="str">
        <x:v>real_chinese.txt</x:v>
      </x:c>
      <x:c r="B4" t="str">
        <x:v>raw</x:v>
      </x:c>
      <x:c r="C4" t="n">
        <x:v>3</x:v>
      </x:c>
      <x:c r="D4" t="str">
        <x:v>localhost_127.0.0.1</x:v>
      </x:c>
      <x:c r="E4" t="str">
        <x:v>none</x:v>
      </x:c>
      <x:c r="F4" t="n">
        <x:v>1200335</x:v>
      </x:c>
      <x:c r="G4" t="n">
        <x:v>1200473</x:v>
      </x:c>
      <x:c r="H4" s="8" t="n">
        <x:f>G4/F4</x:f>
        <x:v>1.0001149679047932</x:v>
      </x:c>
      <x:c r="I4" s="10" t="n">
        <x:f>H4*100</x:f>
        <x:v>100.01149679047931</x:v>
      </x:c>
      <x:c r="J4" s="10" t="n">
        <x:f>(1-H4)*100</x:f>
        <x:v>-0.011496790479315067</x:v>
      </x:c>
      <x:c r="K4" s="10" t="n">
        <x:v>0</x:v>
      </x:c>
      <x:c r="L4" s="10" t="n">
        <x:v>25.1</x:v>
      </x:c>
      <x:c r="M4" s="10" t="n">
        <x:v>0</x:v>
      </x:c>
      <x:c r="N4" s="10" t="n">
        <x:v>36</x:v>
      </x:c>
      <x:c r="O4" s="10" t="n">
        <x:v>34.9</x:v>
      </x:c>
      <x:c r="P4" s="10" t="n">
        <x:f>F4/(N4*1000)</x:f>
        <x:v>33.34263888888889</x:v>
      </x:c>
      <x:c r="Q4" s="10" t="n">
        <x:f>F4/(O4*1000)</x:f>
        <x:v>34.39355300859599</x:v>
      </x:c>
    </x:row>
    <x:row r="5">
      <x:c r="A5" t="str">
        <x:v>real_chinese.txt</x:v>
      </x:c>
      <x:c r="B5" t="str">
        <x:v>raw</x:v>
      </x:c>
      <x:c r="C5" t="n">
        <x:v>4</x:v>
      </x:c>
      <x:c r="D5" t="str">
        <x:v>localhost_127.0.0.1</x:v>
      </x:c>
      <x:c r="E5" t="str">
        <x:v>none</x:v>
      </x:c>
      <x:c r="F5" t="n">
        <x:v>1200335</x:v>
      </x:c>
      <x:c r="G5" t="n">
        <x:v>1200473</x:v>
      </x:c>
      <x:c r="H5" s="8" t="n">
        <x:f>G5/F5</x:f>
        <x:v>1.0001149679047932</x:v>
      </x:c>
      <x:c r="I5" s="10" t="n">
        <x:f>H5*100</x:f>
        <x:v>100.01149679047931</x:v>
      </x:c>
      <x:c r="J5" s="10" t="n">
        <x:f>(1-H5)*100</x:f>
        <x:v>-0.011496790479315067</x:v>
      </x:c>
      <x:c r="K5" s="10" t="n">
        <x:v>0</x:v>
      </x:c>
      <x:c r="L5" s="10" t="n">
        <x:v>24.1</x:v>
      </x:c>
      <x:c r="M5" s="10" t="n">
        <x:v>0</x:v>
      </x:c>
      <x:c r="N5" s="10" t="n">
        <x:v>34.6</x:v>
      </x:c>
      <x:c r="O5" s="10" t="n">
        <x:v>33.6</x:v>
      </x:c>
      <x:c r="P5" s="10" t="n">
        <x:f>F5/(N5*1000)</x:f>
        <x:v>34.691763005780345</x:v>
      </x:c>
      <x:c r="Q5" s="10" t="n">
        <x:f>F5/(O5*1000)</x:f>
        <x:v>35.72425595238095</x:v>
      </x:c>
    </x:row>
    <x:row r="6">
      <x:c r="A6" t="str">
        <x:v>real_chinese.txt</x:v>
      </x:c>
      <x:c r="B6" t="str">
        <x:v>raw</x:v>
      </x:c>
      <x:c r="C6" t="n">
        <x:v>5</x:v>
      </x:c>
      <x:c r="D6" t="str">
        <x:v>localhost_127.0.0.1</x:v>
      </x:c>
      <x:c r="E6" t="str">
        <x:v>none</x:v>
      </x:c>
      <x:c r="F6" t="n">
        <x:v>1200335</x:v>
      </x:c>
      <x:c r="G6" t="n">
        <x:v>1200473</x:v>
      </x:c>
      <x:c r="H6" s="8" t="n">
        <x:f>G6/F6</x:f>
        <x:v>1.0001149679047932</x:v>
      </x:c>
      <x:c r="I6" s="10" t="n">
        <x:f>H6*100</x:f>
        <x:v>100.01149679047931</x:v>
      </x:c>
      <x:c r="J6" s="10" t="n">
        <x:f>(1-H6)*100</x:f>
        <x:v>-0.011496790479315067</x:v>
      </x:c>
      <x:c r="K6" s="10" t="n">
        <x:v>0</x:v>
      </x:c>
      <x:c r="L6" s="10" t="n">
        <x:v>24.4</x:v>
      </x:c>
      <x:c r="M6" s="10" t="n">
        <x:v>0</x:v>
      </x:c>
      <x:c r="N6" s="10" t="n">
        <x:v>35.2</x:v>
      </x:c>
      <x:c r="O6" s="10" t="n">
        <x:v>34.1</x:v>
      </x:c>
      <x:c r="P6" s="10" t="n">
        <x:f>F6/(N6*1000)</x:f>
        <x:v>34.10042613636364</x:v>
      </x:c>
      <x:c r="Q6" s="10" t="n">
        <x:f>F6/(O6*1000)</x:f>
        <x:v>35.20043988269795</x:v>
      </x:c>
    </x:row>
    <x:row r="7">
      <x:c r="A7" t="str">
        <x:v>real_chinese.txt</x:v>
      </x:c>
      <x:c r="B7" t="str">
        <x:v>huff</x:v>
      </x:c>
      <x:c r="C7" t="n">
        <x:v>1</x:v>
      </x:c>
      <x:c r="D7" t="str">
        <x:v>localhost_127.0.0.1</x:v>
      </x:c>
      <x:c r="E7" t="str">
        <x:v>char</x:v>
      </x:c>
      <x:c r="F7" t="n">
        <x:v>1200335</x:v>
      </x:c>
      <x:c r="G7" t="n">
        <x:v>388786</x:v>
      </x:c>
      <x:c r="H7" s="8" t="n">
        <x:f>G7/F7</x:f>
        <x:v>0.32389791183294664</x:v>
      </x:c>
      <x:c r="I7" s="10" t="n">
        <x:f>H7*100</x:f>
        <x:v>32.38979118329466</x:v>
      </x:c>
      <x:c r="J7" s="10" t="n">
        <x:f>(1-H7)*100</x:f>
        <x:v>67.61020881670534</x:v>
      </x:c>
      <x:c r="K7" s="10" t="n">
        <x:v>27.9</x:v>
      </x:c>
      <x:c r="L7" s="10" t="n">
        <x:v>3.7</x:v>
      </x:c>
      <x:c r="M7" s="10" t="n">
        <x:v>8.7</x:v>
      </x:c>
      <x:c r="N7" s="10" t="n">
        <x:v>51.7</x:v>
      </x:c>
      <x:c r="O7" s="10" t="n">
        <x:v>22.8</x:v>
      </x:c>
      <x:c r="P7" s="10" t="n">
        <x:f>F7/(N7*1000)</x:f>
        <x:v>23.217311411992263</x:v>
      </x:c>
      <x:c r="Q7" s="10" t="n">
        <x:f>F7/(O7*1000)</x:f>
        <x:v>52.646271929824564</x:v>
      </x:c>
    </x:row>
    <x:row r="8">
      <x:c r="A8" t="str">
        <x:v>real_chinese.txt</x:v>
      </x:c>
      <x:c r="B8" t="str">
        <x:v>huff</x:v>
      </x:c>
      <x:c r="C8" t="n">
        <x:v>2</x:v>
      </x:c>
      <x:c r="D8" t="str">
        <x:v>localhost_127.0.0.1</x:v>
      </x:c>
      <x:c r="E8" t="str">
        <x:v>char</x:v>
      </x:c>
      <x:c r="F8" t="n">
        <x:v>1200335</x:v>
      </x:c>
      <x:c r="G8" t="n">
        <x:v>388786</x:v>
      </x:c>
      <x:c r="H8" s="8" t="n">
        <x:f>G8/F8</x:f>
        <x:v>0.32389791183294664</x:v>
      </x:c>
      <x:c r="I8" s="10" t="n">
        <x:f>H8*100</x:f>
        <x:v>32.38979118329466</x:v>
      </x:c>
      <x:c r="J8" s="10" t="n">
        <x:f>(1-H8)*100</x:f>
        <x:v>67.61020881670534</x:v>
      </x:c>
      <x:c r="K8" s="10" t="n">
        <x:v>27.4</x:v>
      </x:c>
      <x:c r="L8" s="10" t="n">
        <x:v>3.3</x:v>
      </x:c>
      <x:c r="M8" s="10" t="n">
        <x:v>8.3</x:v>
      </x:c>
      <x:c r="N8" s="10" t="n">
        <x:v>49.6</x:v>
      </x:c>
      <x:c r="O8" s="10" t="n">
        <x:v>21.3</x:v>
      </x:c>
      <x:c r="P8" s="10" t="n">
        <x:f>F8/(N8*1000)</x:f>
        <x:v>24.200302419354838</x:v>
      </x:c>
      <x:c r="Q8" s="10" t="n">
        <x:f>F8/(O8*1000)</x:f>
        <x:v>56.3537558685446</x:v>
      </x:c>
    </x:row>
    <x:row r="9">
      <x:c r="A9" t="str">
        <x:v>real_chinese.txt</x:v>
      </x:c>
      <x:c r="B9" t="str">
        <x:v>huff</x:v>
      </x:c>
      <x:c r="C9" t="n">
        <x:v>3</x:v>
      </x:c>
      <x:c r="D9" t="str">
        <x:v>localhost_127.0.0.1</x:v>
      </x:c>
      <x:c r="E9" t="str">
        <x:v>char</x:v>
      </x:c>
      <x:c r="F9" t="n">
        <x:v>1200335</x:v>
      </x:c>
      <x:c r="G9" t="n">
        <x:v>388786</x:v>
      </x:c>
      <x:c r="H9" s="8" t="n">
        <x:f>G9/F9</x:f>
        <x:v>0.32389791183294664</x:v>
      </x:c>
      <x:c r="I9" s="10" t="n">
        <x:f>H9*100</x:f>
        <x:v>32.38979118329466</x:v>
      </x:c>
      <x:c r="J9" s="10" t="n">
        <x:f>(1-H9)*100</x:f>
        <x:v>67.61020881670534</x:v>
      </x:c>
      <x:c r="K9" s="10" t="n">
        <x:v>27.2</x:v>
      </x:c>
      <x:c r="L9" s="10" t="n">
        <x:v>3.9</x:v>
      </x:c>
      <x:c r="M9" s="10" t="n">
        <x:v>10.4</x:v>
      </x:c>
      <x:c r="N9" s="10" t="n">
        <x:v>51.8</x:v>
      </x:c>
      <x:c r="O9" s="10" t="n">
        <x:v>23.5</x:v>
      </x:c>
      <x:c r="P9" s="10" t="n">
        <x:f>F9/(N9*1000)</x:f>
        <x:v>23.17249034749035</x:v>
      </x:c>
      <x:c r="Q9" s="10" t="n">
        <x:f>F9/(O9*1000)</x:f>
        <x:v>51.07808510638298</x:v>
      </x:c>
    </x:row>
    <x:row r="10">
      <x:c r="A10" t="str">
        <x:v>real_chinese.txt</x:v>
      </x:c>
      <x:c r="B10" t="str">
        <x:v>huff</x:v>
      </x:c>
      <x:c r="C10" t="n">
        <x:v>4</x:v>
      </x:c>
      <x:c r="D10" t="str">
        <x:v>localhost_127.0.0.1</x:v>
      </x:c>
      <x:c r="E10" t="str">
        <x:v>char</x:v>
      </x:c>
      <x:c r="F10" t="n">
        <x:v>1200335</x:v>
      </x:c>
      <x:c r="G10" t="n">
        <x:v>388786</x:v>
      </x:c>
      <x:c r="H10" s="8" t="n">
        <x:f>G10/F10</x:f>
        <x:v>0.32389791183294664</x:v>
      </x:c>
      <x:c r="I10" s="10" t="n">
        <x:f>H10*100</x:f>
        <x:v>32.38979118329466</x:v>
      </x:c>
      <x:c r="J10" s="10" t="n">
        <x:f>(1-H10)*100</x:f>
        <x:v>67.61020881670534</x:v>
      </x:c>
      <x:c r="K10" s="10" t="n">
        <x:v>29.7</x:v>
      </x:c>
      <x:c r="L10" s="10" t="n">
        <x:v>3.5</x:v>
      </x:c>
      <x:c r="M10" s="10" t="n">
        <x:v>10</x:v>
      </x:c>
      <x:c r="N10" s="10" t="n">
        <x:v>53.3</x:v>
      </x:c>
      <x:c r="O10" s="10" t="n">
        <x:v>22.6</x:v>
      </x:c>
      <x:c r="P10" s="10" t="n">
        <x:f>F10/(N10*1000)</x:f>
        <x:v>22.5203564727955</x:v>
      </x:c>
      <x:c r="Q10" s="10" t="n">
        <x:f>F10/(O10*1000)</x:f>
        <x:v>53.11216814159292</x:v>
      </x:c>
    </x:row>
    <x:row r="11">
      <x:c r="A11" t="str">
        <x:v>real_chinese.txt</x:v>
      </x:c>
      <x:c r="B11" t="str">
        <x:v>huff</x:v>
      </x:c>
      <x:c r="C11" t="n">
        <x:v>5</x:v>
      </x:c>
      <x:c r="D11" t="str">
        <x:v>localhost_127.0.0.1</x:v>
      </x:c>
      <x:c r="E11" t="str">
        <x:v>char</x:v>
      </x:c>
      <x:c r="F11" t="n">
        <x:v>1200335</x:v>
      </x:c>
      <x:c r="G11" t="n">
        <x:v>388786</x:v>
      </x:c>
      <x:c r="H11" s="8" t="n">
        <x:f>G11/F11</x:f>
        <x:v>0.32389791183294664</x:v>
      </x:c>
      <x:c r="I11" s="10" t="n">
        <x:f>H11*100</x:f>
        <x:v>32.38979118329466</x:v>
      </x:c>
      <x:c r="J11" s="10" t="n">
        <x:f>(1-H11)*100</x:f>
        <x:v>67.61020881670534</x:v>
      </x:c>
      <x:c r="K11" s="10" t="n">
        <x:v>29.4</x:v>
      </x:c>
      <x:c r="L11" s="10" t="n">
        <x:v>3.7</x:v>
      </x:c>
      <x:c r="M11" s="10" t="n">
        <x:v>8.9</x:v>
      </x:c>
      <x:c r="N11" s="10" t="n">
        <x:v>52.4</x:v>
      </x:c>
      <x:c r="O11" s="10" t="n">
        <x:v>22.2</x:v>
      </x:c>
      <x:c r="P11" s="10" t="n">
        <x:f>F11/(N11*1000)</x:f>
        <x:v>22.907156488549617</x:v>
      </x:c>
      <x:c r="Q11" s="10" t="n">
        <x:f>F11/(O11*1000)</x:f>
        <x:v>54.06914414414415</x:v>
      </x:c>
    </x:row>
    <x:row r="12">
      <x:c r="A12" t="str">
        <x:v>real_english.txt</x:v>
      </x:c>
      <x:c r="B12" t="str">
        <x:v>raw</x:v>
      </x:c>
      <x:c r="C12" t="n">
        <x:v>1</x:v>
      </x:c>
      <x:c r="D12" t="str">
        <x:v>localhost_127.0.0.1</x:v>
      </x:c>
      <x:c r="E12" t="str">
        <x:v>none</x:v>
      </x:c>
      <x:c r="F12" t="n">
        <x:v>1258581</x:v>
      </x:c>
      <x:c r="G12" t="n">
        <x:v>1258724</x:v>
      </x:c>
      <x:c r="H12" s="8" t="n">
        <x:f>G12/F12</x:f>
        <x:v>1.000113620021278</x:v>
      </x:c>
      <x:c r="I12" s="10" t="n">
        <x:f>H12*100</x:f>
        <x:v>100.0113620021278</x:v>
      </x:c>
      <x:c r="J12" s="10" t="n">
        <x:f>(1-H12)*100</x:f>
        <x:v>-0.011362002127790483</x:v>
      </x:c>
      <x:c r="K12" s="10" t="n">
        <x:v>0</x:v>
      </x:c>
      <x:c r="L12" s="10" t="n">
        <x:v>23</x:v>
      </x:c>
      <x:c r="M12" s="10" t="n">
        <x:v>0</x:v>
      </x:c>
      <x:c r="N12" s="10" t="n">
        <x:v>36</x:v>
      </x:c>
      <x:c r="O12" s="10" t="n">
        <x:v>35.1</x:v>
      </x:c>
      <x:c r="P12" s="10" t="n">
        <x:f>F12/(N12*1000)</x:f>
        <x:v>34.96058333333333</x:v>
      </x:c>
      <x:c r="Q12" s="10" t="n">
        <x:f>F12/(O12*1000)</x:f>
        <x:v>35.85700854700855</x:v>
      </x:c>
    </x:row>
    <x:row r="13">
      <x:c r="A13" t="str">
        <x:v>real_english.txt</x:v>
      </x:c>
      <x:c r="B13" t="str">
        <x:v>raw</x:v>
      </x:c>
      <x:c r="C13" t="n">
        <x:v>2</x:v>
      </x:c>
      <x:c r="D13" t="str">
        <x:v>localhost_127.0.0.1</x:v>
      </x:c>
      <x:c r="E13" t="str">
        <x:v>none</x:v>
      </x:c>
      <x:c r="F13" t="n">
        <x:v>1258581</x:v>
      </x:c>
      <x:c r="G13" t="n">
        <x:v>1258724</x:v>
      </x:c>
      <x:c r="H13" s="8" t="n">
        <x:f>G13/F13</x:f>
        <x:v>1.000113620021278</x:v>
      </x:c>
      <x:c r="I13" s="10" t="n">
        <x:f>H13*100</x:f>
        <x:v>100.0113620021278</x:v>
      </x:c>
      <x:c r="J13" s="10" t="n">
        <x:f>(1-H13)*100</x:f>
        <x:v>-0.011362002127790483</x:v>
      </x:c>
      <x:c r="K13" s="10" t="n">
        <x:v>0</x:v>
      </x:c>
      <x:c r="L13" s="10" t="n">
        <x:v>24.3</x:v>
      </x:c>
      <x:c r="M13" s="10" t="n">
        <x:v>0</x:v>
      </x:c>
      <x:c r="N13" s="10" t="n">
        <x:v>36.1</x:v>
      </x:c>
      <x:c r="O13" s="10" t="n">
        <x:v>35.1</x:v>
      </x:c>
      <x:c r="P13" s="10" t="n">
        <x:f>F13/(N13*1000)</x:f>
        <x:v>34.86373961218837</x:v>
      </x:c>
      <x:c r="Q13" s="10" t="n">
        <x:f>F13/(O13*1000)</x:f>
        <x:v>35.85700854700855</x:v>
      </x:c>
    </x:row>
    <x:row r="14">
      <x:c r="A14" t="str">
        <x:v>real_english.txt</x:v>
      </x:c>
      <x:c r="B14" t="str">
        <x:v>raw</x:v>
      </x:c>
      <x:c r="C14" t="n">
        <x:v>3</x:v>
      </x:c>
      <x:c r="D14" t="str">
        <x:v>localhost_127.0.0.1</x:v>
      </x:c>
      <x:c r="E14" t="str">
        <x:v>none</x:v>
      </x:c>
      <x:c r="F14" t="n">
        <x:v>1258581</x:v>
      </x:c>
      <x:c r="G14" t="n">
        <x:v>1258724</x:v>
      </x:c>
      <x:c r="H14" s="8" t="n">
        <x:f>G14/F14</x:f>
        <x:v>1.000113620021278</x:v>
      </x:c>
      <x:c r="I14" s="10" t="n">
        <x:f>H14*100</x:f>
        <x:v>100.0113620021278</x:v>
      </x:c>
      <x:c r="J14" s="10" t="n">
        <x:f>(1-H14)*100</x:f>
        <x:v>-0.011362002127790483</x:v>
      </x:c>
      <x:c r="K14" s="10" t="n">
        <x:v>0</x:v>
      </x:c>
      <x:c r="L14" s="10" t="n">
        <x:v>26.5</x:v>
      </x:c>
      <x:c r="M14" s="10" t="n">
        <x:v>0</x:v>
      </x:c>
      <x:c r="N14" s="10" t="n">
        <x:v>38.6</x:v>
      </x:c>
      <x:c r="O14" s="10" t="n">
        <x:v>37.4</x:v>
      </x:c>
      <x:c r="P14" s="10" t="n">
        <x:f>F14/(N14*1000)</x:f>
        <x:v>32.60572538860104</x:v>
      </x:c>
      <x:c r="Q14" s="10" t="n">
        <x:f>F14/(O14*1000)</x:f>
        <x:v>33.65189839572192</x:v>
      </x:c>
    </x:row>
    <x:row r="15">
      <x:c r="A15" t="str">
        <x:v>real_english.txt</x:v>
      </x:c>
      <x:c r="B15" t="str">
        <x:v>raw</x:v>
      </x:c>
      <x:c r="C15" t="n">
        <x:v>4</x:v>
      </x:c>
      <x:c r="D15" t="str">
        <x:v>localhost_127.0.0.1</x:v>
      </x:c>
      <x:c r="E15" t="str">
        <x:v>none</x:v>
      </x:c>
      <x:c r="F15" t="n">
        <x:v>1258581</x:v>
      </x:c>
      <x:c r="G15" t="n">
        <x:v>1258724</x:v>
      </x:c>
      <x:c r="H15" s="8" t="n">
        <x:f>G15/F15</x:f>
        <x:v>1.000113620021278</x:v>
      </x:c>
      <x:c r="I15" s="10" t="n">
        <x:f>H15*100</x:f>
        <x:v>100.0113620021278</x:v>
      </x:c>
      <x:c r="J15" s="10" t="n">
        <x:f>(1-H15)*100</x:f>
        <x:v>-0.011362002127790483</x:v>
      </x:c>
      <x:c r="K15" s="10" t="n">
        <x:v>0</x:v>
      </x:c>
      <x:c r="L15" s="10" t="n">
        <x:v>14.8</x:v>
      </x:c>
      <x:c r="M15" s="10" t="n">
        <x:v>0</x:v>
      </x:c>
      <x:c r="N15" s="10" t="n">
        <x:v>37.1</x:v>
      </x:c>
      <x:c r="O15" s="10" t="n">
        <x:v>36.1</x:v>
      </x:c>
      <x:c r="P15" s="10" t="n">
        <x:f>F15/(N15*1000)</x:f>
        <x:v>33.92401617250674</x:v>
      </x:c>
      <x:c r="Q15" s="10" t="n">
        <x:f>F15/(O15*1000)</x:f>
        <x:v>34.86373961218837</x:v>
      </x:c>
    </x:row>
    <x:row r="16">
      <x:c r="A16" t="str">
        <x:v>real_english.txt</x:v>
      </x:c>
      <x:c r="B16" t="str">
        <x:v>raw</x:v>
      </x:c>
      <x:c r="C16" t="n">
        <x:v>5</x:v>
      </x:c>
      <x:c r="D16" t="str">
        <x:v>localhost_127.0.0.1</x:v>
      </x:c>
      <x:c r="E16" t="str">
        <x:v>none</x:v>
      </x:c>
      <x:c r="F16" t="n">
        <x:v>1258581</x:v>
      </x:c>
      <x:c r="G16" t="n">
        <x:v>1258724</x:v>
      </x:c>
      <x:c r="H16" s="8" t="n">
        <x:f>G16/F16</x:f>
        <x:v>1.000113620021278</x:v>
      </x:c>
      <x:c r="I16" s="10" t="n">
        <x:f>H16*100</x:f>
        <x:v>100.0113620021278</x:v>
      </x:c>
      <x:c r="J16" s="10" t="n">
        <x:f>(1-H16)*100</x:f>
        <x:v>-0.011362002127790483</x:v>
      </x:c>
      <x:c r="K16" s="10" t="n">
        <x:v>0</x:v>
      </x:c>
      <x:c r="L16" s="10" t="n">
        <x:v>25</x:v>
      </x:c>
      <x:c r="M16" s="10" t="n">
        <x:v>0</x:v>
      </x:c>
      <x:c r="N16" s="10" t="n">
        <x:v>37.5</x:v>
      </x:c>
      <x:c r="O16" s="10" t="n">
        <x:v>35.9</x:v>
      </x:c>
      <x:c r="P16" s="10" t="n">
        <x:f>F16/(N16*1000)</x:f>
        <x:v>33.56216</x:v>
      </x:c>
      <x:c r="Q16" s="10" t="n">
        <x:f>F16/(O16*1000)</x:f>
        <x:v>35.05796657381616</x:v>
      </x:c>
    </x:row>
    <x:row r="17">
      <x:c r="A17" t="str">
        <x:v>real_english.txt</x:v>
      </x:c>
      <x:c r="B17" t="str">
        <x:v>huff</x:v>
      </x:c>
      <x:c r="C17" t="n">
        <x:v>1</x:v>
      </x:c>
      <x:c r="D17" t="str">
        <x:v>localhost_127.0.0.1</x:v>
      </x:c>
      <x:c r="E17" t="str">
        <x:v>char</x:v>
      </x:c>
      <x:c r="F17" t="n">
        <x:v>1258581</x:v>
      </x:c>
      <x:c r="G17" t="n">
        <x:v>679187</x:v>
      </x:c>
      <x:c r="H17" s="8" t="n">
        <x:f>G17/F17</x:f>
        <x:v>0.5396450446971629</x:v>
      </x:c>
      <x:c r="I17" s="10" t="n">
        <x:f>H17*100</x:f>
        <x:v>53.96450446971629</x:v>
      </x:c>
      <x:c r="J17" s="10" t="n">
        <x:f>(1-H17)*100</x:f>
        <x:v>46.03549553028371</x:v>
      </x:c>
      <x:c r="K17" s="10" t="n">
        <x:v>40.8</x:v>
      </x:c>
      <x:c r="L17" s="10" t="n">
        <x:v>9.4</x:v>
      </x:c>
      <x:c r="M17" s="10" t="n">
        <x:v>21.8</x:v>
      </x:c>
      <x:c r="N17" s="10" t="n">
        <x:v>85</x:v>
      </x:c>
      <x:c r="O17" s="10" t="n">
        <x:v>43.2</x:v>
      </x:c>
      <x:c r="P17" s="10" t="n">
        <x:f>F17/(N17*1000)</x:f>
        <x:v>14.806835294117647</x:v>
      </x:c>
      <x:c r="Q17" s="10" t="n">
        <x:f>F17/(O17*1000)</x:f>
        <x:v>29.133819444444445</x:v>
      </x:c>
    </x:row>
    <x:row r="18">
      <x:c r="A18" t="str">
        <x:v>real_english.txt</x:v>
      </x:c>
      <x:c r="B18" t="str">
        <x:v>huff</x:v>
      </x:c>
      <x:c r="C18" t="n">
        <x:v>2</x:v>
      </x:c>
      <x:c r="D18" t="str">
        <x:v>localhost_127.0.0.1</x:v>
      </x:c>
      <x:c r="E18" t="str">
        <x:v>char</x:v>
      </x:c>
      <x:c r="F18" t="n">
        <x:v>1258581</x:v>
      </x:c>
      <x:c r="G18" t="n">
        <x:v>679187</x:v>
      </x:c>
      <x:c r="H18" s="8" t="n">
        <x:f>G18/F18</x:f>
        <x:v>0.5396450446971629</x:v>
      </x:c>
      <x:c r="I18" s="10" t="n">
        <x:f>H18*100</x:f>
        <x:v>53.96450446971629</x:v>
      </x:c>
      <x:c r="J18" s="10" t="n">
        <x:f>(1-H18)*100</x:f>
        <x:v>46.03549553028371</x:v>
      </x:c>
      <x:c r="K18" s="10" t="n">
        <x:v>43.9</x:v>
      </x:c>
      <x:c r="L18" s="10" t="n">
        <x:v>5</x:v>
      </x:c>
      <x:c r="M18" s="10" t="n">
        <x:v>20.5</x:v>
      </x:c>
      <x:c r="N18" s="10" t="n">
        <x:v>85.3</x:v>
      </x:c>
      <x:c r="O18" s="10" t="n">
        <x:v>40.5</x:v>
      </x:c>
      <x:c r="P18" s="10" t="n">
        <x:f>F18/(N18*1000)</x:f>
        <x:v>14.754759671746775</x:v>
      </x:c>
      <x:c r="Q18" s="10" t="n">
        <x:f>F18/(O18*1000)</x:f>
        <x:v>31.076074074074075</x:v>
      </x:c>
    </x:row>
    <x:row r="19">
      <x:c r="A19" t="str">
        <x:v>real_english.txt</x:v>
      </x:c>
      <x:c r="B19" t="str">
        <x:v>huff</x:v>
      </x:c>
      <x:c r="C19" t="n">
        <x:v>3</x:v>
      </x:c>
      <x:c r="D19" t="str">
        <x:v>localhost_127.0.0.1</x:v>
      </x:c>
      <x:c r="E19" t="str">
        <x:v>char</x:v>
      </x:c>
      <x:c r="F19" t="n">
        <x:v>1258581</x:v>
      </x:c>
      <x:c r="G19" t="n">
        <x:v>679187</x:v>
      </x:c>
      <x:c r="H19" s="8" t="n">
        <x:f>G19/F19</x:f>
        <x:v>0.5396450446971629</x:v>
      </x:c>
      <x:c r="I19" s="10" t="n">
        <x:f>H19*100</x:f>
        <x:v>53.96450446971629</x:v>
      </x:c>
      <x:c r="J19" s="10" t="n">
        <x:f>(1-H19)*100</x:f>
        <x:v>46.03549553028371</x:v>
      </x:c>
      <x:c r="K19" s="10" t="n">
        <x:v>43.3</x:v>
      </x:c>
      <x:c r="L19" s="10" t="n">
        <x:v>10.8</x:v>
      </x:c>
      <x:c r="M19" s="10" t="n">
        <x:v>21.1</x:v>
      </x:c>
      <x:c r="N19" s="10" t="n">
        <x:v>88</x:v>
      </x:c>
      <x:c r="O19" s="10" t="n">
        <x:v>43.7</x:v>
      </x:c>
      <x:c r="P19" s="10" t="n">
        <x:f>F19/(N19*1000)</x:f>
        <x:v>14.302056818181818</x:v>
      </x:c>
      <x:c r="Q19" s="10" t="n">
        <x:f>F19/(O19*1000)</x:f>
        <x:v>28.800480549199083</x:v>
      </x:c>
    </x:row>
    <x:row r="20">
      <x:c r="A20" t="str">
        <x:v>real_english.txt</x:v>
      </x:c>
      <x:c r="B20" t="str">
        <x:v>huff</x:v>
      </x:c>
      <x:c r="C20" t="n">
        <x:v>4</x:v>
      </x:c>
      <x:c r="D20" t="str">
        <x:v>localhost_127.0.0.1</x:v>
      </x:c>
      <x:c r="E20" t="str">
        <x:v>char</x:v>
      </x:c>
      <x:c r="F20" t="n">
        <x:v>1258581</x:v>
      </x:c>
      <x:c r="G20" t="n">
        <x:v>679187</x:v>
      </x:c>
      <x:c r="H20" s="8" t="n">
        <x:f>G20/F20</x:f>
        <x:v>0.5396450446971629</x:v>
      </x:c>
      <x:c r="I20" s="10" t="n">
        <x:f>H20*100</x:f>
        <x:v>53.96450446971629</x:v>
      </x:c>
      <x:c r="J20" s="10" t="n">
        <x:f>(1-H20)*100</x:f>
        <x:v>46.03549553028371</x:v>
      </x:c>
      <x:c r="K20" s="10" t="n">
        <x:v>42.6</x:v>
      </x:c>
      <x:c r="L20" s="10" t="n">
        <x:v>9.4</x:v>
      </x:c>
      <x:c r="M20" s="10" t="n">
        <x:v>20.4</x:v>
      </x:c>
      <x:c r="N20" s="10" t="n">
        <x:v>84.5</x:v>
      </x:c>
      <x:c r="O20" s="10" t="n">
        <x:v>40.9</x:v>
      </x:c>
      <x:c r="P20" s="10" t="n">
        <x:f>F20/(N20*1000)</x:f>
        <x:v>14.894449704142012</x:v>
      </x:c>
      <x:c r="Q20" s="10" t="n">
        <x:f>F20/(O20*1000)</x:f>
        <x:v>30.772151589242053</x:v>
      </x:c>
    </x:row>
    <x:row r="21">
      <x:c r="A21" t="str">
        <x:v>real_english.txt</x:v>
      </x:c>
      <x:c r="B21" t="str">
        <x:v>huff</x:v>
      </x:c>
      <x:c r="C21" t="n">
        <x:v>5</x:v>
      </x:c>
      <x:c r="D21" t="str">
        <x:v>localhost_127.0.0.1</x:v>
      </x:c>
      <x:c r="E21" t="str">
        <x:v>char</x:v>
      </x:c>
      <x:c r="F21" t="n">
        <x:v>1258581</x:v>
      </x:c>
      <x:c r="G21" t="n">
        <x:v>679187</x:v>
      </x:c>
      <x:c r="H21" s="8" t="n">
        <x:f>G21/F21</x:f>
        <x:v>0.5396450446971629</x:v>
      </x:c>
      <x:c r="I21" s="10" t="n">
        <x:f>H21*100</x:f>
        <x:v>53.96450446971629</x:v>
      </x:c>
      <x:c r="J21" s="10" t="n">
        <x:f>(1-H21)*100</x:f>
        <x:v>46.03549553028371</x:v>
      </x:c>
      <x:c r="K21" s="10" t="n">
        <x:v>40.9</x:v>
      </x:c>
      <x:c r="L21" s="10" t="n">
        <x:v>5</x:v>
      </x:c>
      <x:c r="M21" s="10" t="n">
        <x:v>20.2</x:v>
      </x:c>
      <x:c r="N21" s="10" t="n">
        <x:v>82.4</x:v>
      </x:c>
      <x:c r="O21" s="10" t="n">
        <x:v>40.6</x:v>
      </x:c>
      <x:c r="P21" s="10" t="n">
        <x:f>F21/(N21*1000)</x:f>
        <x:v>15.274041262135922</x:v>
      </x:c>
      <x:c r="Q21" s="10" t="n">
        <x:f>F21/(O21*1000)</x:f>
        <x:v>30.999532019704432</x:v>
      </x:c>
    </x:row>
    <x:row r="22">
      <x:c r="A22" t="str">
        <x:v>audio_music_20s.wav</x:v>
      </x:c>
      <x:c r="B22" t="str">
        <x:v>raw</x:v>
      </x:c>
      <x:c r="C22" t="n">
        <x:v>1</x:v>
      </x:c>
      <x:c r="D22" t="str">
        <x:v>localhost_127.0.0.1</x:v>
      </x:c>
      <x:c r="E22" t="str">
        <x:v>none</x:v>
      </x:c>
      <x:c r="F22" t="n">
        <x:v>3528044</x:v>
      </x:c>
      <x:c r="G22" t="n">
        <x:v>3528360</x:v>
      </x:c>
      <x:c r="H22" s="8" t="n">
        <x:f>G22/F22</x:f>
        <x:v>1.000089568043936</x:v>
      </x:c>
      <x:c r="I22" s="10" t="n">
        <x:f>H22*100</x:f>
        <x:v>100.00895680439359</x:v>
      </x:c>
      <x:c r="J22" s="10" t="n">
        <x:f>(1-H22)*100</x:f>
        <x:v>-0.00895680439358948</x:v>
      </x:c>
      <x:c r="K22" s="10" t="n">
        <x:v>0</x:v>
      </x:c>
      <x:c r="L22" s="10" t="n">
        <x:v>87.9</x:v>
      </x:c>
      <x:c r="M22" s="10" t="n">
        <x:v>0</x:v>
      </x:c>
      <x:c r="N22" s="10" t="n">
        <x:v>105.9</x:v>
      </x:c>
      <x:c r="O22" s="10" t="n">
        <x:v>104.3</x:v>
      </x:c>
      <x:c r="P22" s="10" t="n">
        <x:f>F22/(N22*1000)</x:f>
        <x:v>33.31486307837583</x:v>
      </x:c>
      <x:c r="Q22" s="10" t="n">
        <x:f>F22/(O22*1000)</x:f>
        <x:v>33.82592521572387</x:v>
      </x:c>
    </x:row>
    <x:row r="23">
      <x:c r="A23" t="str">
        <x:v>audio_music_20s.wav</x:v>
      </x:c>
      <x:c r="B23" t="str">
        <x:v>raw</x:v>
      </x:c>
      <x:c r="C23" t="n">
        <x:v>2</x:v>
      </x:c>
      <x:c r="D23" t="str">
        <x:v>localhost_127.0.0.1</x:v>
      </x:c>
      <x:c r="E23" t="str">
        <x:v>none</x:v>
      </x:c>
      <x:c r="F23" t="n">
        <x:v>3528044</x:v>
      </x:c>
      <x:c r="G23" t="n">
        <x:v>3528360</x:v>
      </x:c>
      <x:c r="H23" s="8" t="n">
        <x:f>G23/F23</x:f>
        <x:v>1.000089568043936</x:v>
      </x:c>
      <x:c r="I23" s="10" t="n">
        <x:f>H23*100</x:f>
        <x:v>100.00895680439359</x:v>
      </x:c>
      <x:c r="J23" s="10" t="n">
        <x:f>(1-H23)*100</x:f>
        <x:v>-0.00895680439358948</x:v>
      </x:c>
      <x:c r="K23" s="10" t="n">
        <x:v>0</x:v>
      </x:c>
      <x:c r="L23" s="10" t="n">
        <x:v>70.4</x:v>
      </x:c>
      <x:c r="M23" s="10" t="n">
        <x:v>0</x:v>
      </x:c>
      <x:c r="N23" s="10" t="n">
        <x:v>92.8</x:v>
      </x:c>
      <x:c r="O23" s="10" t="n">
        <x:v>91.3</x:v>
      </x:c>
      <x:c r="P23" s="10" t="n">
        <x:f>F23/(N23*1000)</x:f>
        <x:v>38.01771551724138</x:v>
      </x:c>
      <x:c r="Q23" s="10" t="n">
        <x:f>F23/(O23*1000)</x:f>
        <x:v>38.64232201533407</x:v>
      </x:c>
    </x:row>
    <x:row r="24">
      <x:c r="A24" t="str">
        <x:v>audio_music_20s.wav</x:v>
      </x:c>
      <x:c r="B24" t="str">
        <x:v>raw</x:v>
      </x:c>
      <x:c r="C24" t="n">
        <x:v>3</x:v>
      </x:c>
      <x:c r="D24" t="str">
        <x:v>localhost_127.0.0.1</x:v>
      </x:c>
      <x:c r="E24" t="str">
        <x:v>none</x:v>
      </x:c>
      <x:c r="F24" t="n">
        <x:v>3528044</x:v>
      </x:c>
      <x:c r="G24" t="n">
        <x:v>3528360</x:v>
      </x:c>
      <x:c r="H24" s="8" t="n">
        <x:f>G24/F24</x:f>
        <x:v>1.000089568043936</x:v>
      </x:c>
      <x:c r="I24" s="10" t="n">
        <x:f>H24*100</x:f>
        <x:v>100.00895680439359</x:v>
      </x:c>
      <x:c r="J24" s="10" t="n">
        <x:f>(1-H24)*100</x:f>
        <x:v>-0.00895680439358948</x:v>
      </x:c>
      <x:c r="K24" s="10" t="n">
        <x:v>0</x:v>
      </x:c>
      <x:c r="L24" s="10" t="n">
        <x:v>93.8</x:v>
      </x:c>
      <x:c r="M24" s="10" t="n">
        <x:v>0</x:v>
      </x:c>
      <x:c r="N24" s="10" t="n">
        <x:v>108.9</x:v>
      </x:c>
      <x:c r="O24" s="10" t="n">
        <x:v>107.2</x:v>
      </x:c>
      <x:c r="P24" s="10" t="n">
        <x:f>F24/(N24*1000)</x:f>
        <x:v>32.39709825528007</x:v>
      </x:c>
      <x:c r="Q24" s="10" t="n">
        <x:f>F24/(O24*1000)</x:f>
        <x:v>32.910858208955226</x:v>
      </x:c>
    </x:row>
    <x:row r="25">
      <x:c r="A25" t="str">
        <x:v>audio_music_20s.wav</x:v>
      </x:c>
      <x:c r="B25" t="str">
        <x:v>raw</x:v>
      </x:c>
      <x:c r="C25" t="n">
        <x:v>4</x:v>
      </x:c>
      <x:c r="D25" t="str">
        <x:v>localhost_127.0.0.1</x:v>
      </x:c>
      <x:c r="E25" t="str">
        <x:v>none</x:v>
      </x:c>
      <x:c r="F25" t="n">
        <x:v>3528044</x:v>
      </x:c>
      <x:c r="G25" t="n">
        <x:v>3528360</x:v>
      </x:c>
      <x:c r="H25" s="8" t="n">
        <x:f>G25/F25</x:f>
        <x:v>1.000089568043936</x:v>
      </x:c>
      <x:c r="I25" s="10" t="n">
        <x:f>H25*100</x:f>
        <x:v>100.00895680439359</x:v>
      </x:c>
      <x:c r="J25" s="10" t="n">
        <x:f>(1-H25)*100</x:f>
        <x:v>-0.00895680439358948</x:v>
      </x:c>
      <x:c r="K25" s="10" t="n">
        <x:v>0</x:v>
      </x:c>
      <x:c r="L25" s="10" t="n">
        <x:v>76.1</x:v>
      </x:c>
      <x:c r="M25" s="10" t="n">
        <x:v>0</x:v>
      </x:c>
      <x:c r="N25" s="10" t="n">
        <x:v>89.8</x:v>
      </x:c>
      <x:c r="O25" s="10" t="n">
        <x:v>88.3</x:v>
      </x:c>
      <x:c r="P25" s="10" t="n">
        <x:f>F25/(N25*1000)</x:f>
        <x:v>39.287795100222716</x:v>
      </x:c>
      <x:c r="Q25" s="10" t="n">
        <x:f>F25/(O25*1000)</x:f>
        <x:v>39.95519818799547</x:v>
      </x:c>
    </x:row>
    <x:row r="26">
      <x:c r="A26" t="str">
        <x:v>audio_music_20s.wav</x:v>
      </x:c>
      <x:c r="B26" t="str">
        <x:v>raw</x:v>
      </x:c>
      <x:c r="C26" t="n">
        <x:v>5</x:v>
      </x:c>
      <x:c r="D26" t="str">
        <x:v>localhost_127.0.0.1</x:v>
      </x:c>
      <x:c r="E26" t="str">
        <x:v>none</x:v>
      </x:c>
      <x:c r="F26" t="n">
        <x:v>3528044</x:v>
      </x:c>
      <x:c r="G26" t="n">
        <x:v>3528360</x:v>
      </x:c>
      <x:c r="H26" s="8" t="n">
        <x:f>G26/F26</x:f>
        <x:v>1.000089568043936</x:v>
      </x:c>
      <x:c r="I26" s="10" t="n">
        <x:f>H26*100</x:f>
        <x:v>100.00895680439359</x:v>
      </x:c>
      <x:c r="J26" s="10" t="n">
        <x:f>(1-H26)*100</x:f>
        <x:v>-0.00895680439358948</x:v>
      </x:c>
      <x:c r="K26" s="10" t="n">
        <x:v>0</x:v>
      </x:c>
      <x:c r="L26" s="10" t="n">
        <x:v>70.3</x:v>
      </x:c>
      <x:c r="M26" s="10" t="n">
        <x:v>0</x:v>
      </x:c>
      <x:c r="N26" s="10" t="n">
        <x:v>90.9</x:v>
      </x:c>
      <x:c r="O26" s="10" t="n">
        <x:v>89</x:v>
      </x:c>
      <x:c r="P26" s="10" t="n">
        <x:f>F26/(N26*1000)</x:f>
        <x:v>38.812365236523654</x:v>
      </x:c>
      <x:c r="Q26" s="10" t="n">
        <x:f>F26/(O26*1000)</x:f>
        <x:v>39.64094382022472</x:v>
      </x:c>
    </x:row>
    <x:row r="27">
      <x:c r="A27" t="str">
        <x:v>audio_music_20s.wav</x:v>
      </x:c>
      <x:c r="B27" t="str">
        <x:v>huff</x:v>
      </x:c>
      <x:c r="C27" t="n">
        <x:v>1</x:v>
      </x:c>
      <x:c r="D27" t="str">
        <x:v>localhost_127.0.0.1</x:v>
      </x:c>
      <x:c r="E27" t="str">
        <x:v>s16</x:v>
      </x:c>
      <x:c r="F27" t="n">
        <x:v>3528044</x:v>
      </x:c>
      <x:c r="G27" t="n">
        <x:v>3828268</x:v>
      </x:c>
      <x:c r="H27" s="8" t="n">
        <x:f>G27/F27</x:f>
        <x:v>1.0850964443754103</x:v>
      </x:c>
      <x:c r="I27" s="10" t="n">
        <x:f>H27*100</x:f>
        <x:v>108.50964443754103</x:v>
      </x:c>
      <x:c r="J27" s="10" t="n">
        <x:f>(1-H27)*100</x:f>
        <x:v>-8.50964443754103</x:v>
      </x:c>
      <x:c r="K27" s="10" t="n">
        <x:v>210.3</x:v>
      </x:c>
      <x:c r="L27" s="10" t="n">
        <x:v>83.4</x:v>
      </x:c>
      <x:c r="M27" s="10" t="n">
        <x:v>78.8</x:v>
      </x:c>
      <x:c r="N27" s="10" t="n">
        <x:v>389.1</x:v>
      </x:c>
      <x:c r="O27" s="10" t="n">
        <x:v>187.7</x:v>
      </x:c>
      <x:c r="P27" s="10" t="n">
        <x:f>F27/(N27*1000)</x:f>
        <x:v>9.067190953482395</x:v>
      </x:c>
      <x:c r="Q27" s="10" t="n">
        <x:f>F27/(O27*1000)</x:f>
        <x:v>18.79618540223761</x:v>
      </x:c>
    </x:row>
    <x:row r="28">
      <x:c r="A28" t="str">
        <x:v>audio_music_20s.wav</x:v>
      </x:c>
      <x:c r="B28" t="str">
        <x:v>huff</x:v>
      </x:c>
      <x:c r="C28" t="n">
        <x:v>2</x:v>
      </x:c>
      <x:c r="D28" t="str">
        <x:v>localhost_127.0.0.1</x:v>
      </x:c>
      <x:c r="E28" t="str">
        <x:v>s16</x:v>
      </x:c>
      <x:c r="F28" t="n">
        <x:v>3528044</x:v>
      </x:c>
      <x:c r="G28" t="n">
        <x:v>3828268</x:v>
      </x:c>
      <x:c r="H28" s="8" t="n">
        <x:f>G28/F28</x:f>
        <x:v>1.0850964443754103</x:v>
      </x:c>
      <x:c r="I28" s="10" t="n">
        <x:f>H28*100</x:f>
        <x:v>108.50964443754103</x:v>
      </x:c>
      <x:c r="J28" s="10" t="n">
        <x:f>(1-H28)*100</x:f>
        <x:v>-8.50964443754103</x:v>
      </x:c>
      <x:c r="K28" s="10" t="n">
        <x:v>191</x:v>
      </x:c>
      <x:c r="L28" s="10" t="n">
        <x:v>85.7</x:v>
      </x:c>
      <x:c r="M28" s="10" t="n">
        <x:v>82.8</x:v>
      </x:c>
      <x:c r="N28" s="10" t="n">
        <x:v>372.8</x:v>
      </x:c>
      <x:c r="O28" s="10" t="n">
        <x:v>180.3</x:v>
      </x:c>
      <x:c r="P28" s="10" t="n">
        <x:f>F28/(N28*1000)</x:f>
        <x:v>9.463637339055794</x:v>
      </x:c>
      <x:c r="Q28" s="10" t="n">
        <x:f>F28/(O28*1000)</x:f>
        <x:v>19.567631724902938</x:v>
      </x:c>
    </x:row>
    <x:row r="29">
      <x:c r="A29" t="str">
        <x:v>audio_music_20s.wav</x:v>
      </x:c>
      <x:c r="B29" t="str">
        <x:v>huff</x:v>
      </x:c>
      <x:c r="C29" t="n">
        <x:v>3</x:v>
      </x:c>
      <x:c r="D29" t="str">
        <x:v>localhost_127.0.0.1</x:v>
      </x:c>
      <x:c r="E29" t="str">
        <x:v>s16</x:v>
      </x:c>
      <x:c r="F29" t="n">
        <x:v>3528044</x:v>
      </x:c>
      <x:c r="G29" t="n">
        <x:v>3828268</x:v>
      </x:c>
      <x:c r="H29" s="8" t="n">
        <x:f>G29/F29</x:f>
        <x:v>1.0850964443754103</x:v>
      </x:c>
      <x:c r="I29" s="10" t="n">
        <x:f>H29*100</x:f>
        <x:v>108.50964443754103</x:v>
      </x:c>
      <x:c r="J29" s="10" t="n">
        <x:f>(1-H29)*100</x:f>
        <x:v>-8.50964443754103</x:v>
      </x:c>
      <x:c r="K29" s="10" t="n">
        <x:v>201.1</x:v>
      </x:c>
      <x:c r="L29" s="10" t="n">
        <x:v>79.7</x:v>
      </x:c>
      <x:c r="M29" s="10" t="n">
        <x:v>79.9</x:v>
      </x:c>
      <x:c r="N29" s="10" t="n">
        <x:v>380.7</x:v>
      </x:c>
      <x:c r="O29" s="10" t="n">
        <x:v>177.5</x:v>
      </x:c>
      <x:c r="P29" s="10" t="n">
        <x:f>F29/(N29*1000)</x:f>
        <x:v>9.267255056474914</x:v>
      </x:c>
      <x:c r="Q29" s="10" t="n">
        <x:f>F29/(O29*1000)</x:f>
        <x:v>19.87630422535211</x:v>
      </x:c>
    </x:row>
    <x:row r="30">
      <x:c r="A30" t="str">
        <x:v>audio_music_20s.wav</x:v>
      </x:c>
      <x:c r="B30" t="str">
        <x:v>huff</x:v>
      </x:c>
      <x:c r="C30" t="n">
        <x:v>4</x:v>
      </x:c>
      <x:c r="D30" t="str">
        <x:v>localhost_127.0.0.1</x:v>
      </x:c>
      <x:c r="E30" t="str">
        <x:v>s16</x:v>
      </x:c>
      <x:c r="F30" t="n">
        <x:v>3528044</x:v>
      </x:c>
      <x:c r="G30" t="n">
        <x:v>3828268</x:v>
      </x:c>
      <x:c r="H30" s="8" t="n">
        <x:f>G30/F30</x:f>
        <x:v>1.0850964443754103</x:v>
      </x:c>
      <x:c r="I30" s="10" t="n">
        <x:f>H30*100</x:f>
        <x:v>108.50964443754103</x:v>
      </x:c>
      <x:c r="J30" s="10" t="n">
        <x:f>(1-H30)*100</x:f>
        <x:v>-8.50964443754103</x:v>
      </x:c>
      <x:c r="K30" s="10" t="n">
        <x:v>203.3</x:v>
      </x:c>
      <x:c r="L30" s="10" t="n">
        <x:v>90.5</x:v>
      </x:c>
      <x:c r="M30" s="10" t="n">
        <x:v>82.4</x:v>
      </x:c>
      <x:c r="N30" s="10" t="n">
        <x:v>389.1</x:v>
      </x:c>
      <x:c r="O30" s="10" t="n">
        <x:v>184.1</x:v>
      </x:c>
      <x:c r="P30" s="10" t="n">
        <x:f>F30/(N30*1000)</x:f>
        <x:v>9.067190953482395</x:v>
      </x:c>
      <x:c r="Q30" s="10" t="n">
        <x:f>F30/(O30*1000)</x:f>
        <x:v>19.1637370994025</x:v>
      </x:c>
    </x:row>
    <x:row r="31">
      <x:c r="A31" t="str">
        <x:v>audio_music_20s.wav</x:v>
      </x:c>
      <x:c r="B31" t="str">
        <x:v>huff</x:v>
      </x:c>
      <x:c r="C31" t="n">
        <x:v>5</x:v>
      </x:c>
      <x:c r="D31" t="str">
        <x:v>localhost_127.0.0.1</x:v>
      </x:c>
      <x:c r="E31" t="str">
        <x:v>s16</x:v>
      </x:c>
      <x:c r="F31" t="n">
        <x:v>3528044</x:v>
      </x:c>
      <x:c r="G31" t="n">
        <x:v>3828268</x:v>
      </x:c>
      <x:c r="H31" s="8" t="n">
        <x:f>G31/F31</x:f>
        <x:v>1.0850964443754103</x:v>
      </x:c>
      <x:c r="I31" s="10" t="n">
        <x:f>H31*100</x:f>
        <x:v>108.50964443754103</x:v>
      </x:c>
      <x:c r="J31" s="10" t="n">
        <x:f>(1-H31)*100</x:f>
        <x:v>-8.50964443754103</x:v>
      </x:c>
      <x:c r="K31" s="10" t="n">
        <x:v>200</x:v>
      </x:c>
      <x:c r="L31" s="10" t="n">
        <x:v>111.3</x:v>
      </x:c>
      <x:c r="M31" s="10" t="n">
        <x:v>83.5</x:v>
      </x:c>
      <x:c r="N31" s="10" t="n">
        <x:v>408</x:v>
      </x:c>
      <x:c r="O31" s="10" t="n">
        <x:v>206.2</x:v>
      </x:c>
      <x:c r="P31" s="10" t="n">
        <x:f>F31/(N31*1000)</x:f>
        <x:v>8.647166666666667</x:v>
      </x:c>
      <x:c r="Q31" s="10" t="n">
        <x:f>F31/(O31*1000)</x:f>
        <x:v>17.109815712900097</x:v>
      </x:c>
    </x:row>
    <x:row r="32">
      <x:c r="A32" t="str">
        <x:v>audio_noise.wav</x:v>
      </x:c>
      <x:c r="B32" t="str">
        <x:v>raw</x:v>
      </x:c>
      <x:c r="C32" t="n">
        <x:v>1</x:v>
      </x:c>
      <x:c r="D32" t="str">
        <x:v>localhost_127.0.0.1</x:v>
      </x:c>
      <x:c r="E32" t="str">
        <x:v>none</x:v>
      </x:c>
      <x:c r="F32" t="n">
        <x:v>1120044</x:v>
      </x:c>
      <x:c r="G32" t="n">
        <x:v>1120176</x:v>
      </x:c>
      <x:c r="H32" s="8" t="n">
        <x:f>G32/F32</x:f>
        <x:v>1.000117852512937</x:v>
      </x:c>
      <x:c r="I32" s="10" t="n">
        <x:f>H32*100</x:f>
        <x:v>100.0117852512937</x:v>
      </x:c>
      <x:c r="J32" s="10" t="n">
        <x:f>(1-H32)*100</x:f>
        <x:v>-0.011785251293705556</x:v>
      </x:c>
      <x:c r="K32" s="10" t="n">
        <x:v>0</x:v>
      </x:c>
      <x:c r="L32" s="10" t="n">
        <x:v>21.8</x:v>
      </x:c>
      <x:c r="M32" s="10" t="n">
        <x:v>0</x:v>
      </x:c>
      <x:c r="N32" s="10" t="n">
        <x:v>34.5</x:v>
      </x:c>
      <x:c r="O32" s="10" t="n">
        <x:v>33.4</x:v>
      </x:c>
      <x:c r="P32" s="10" t="n">
        <x:f>F32/(N32*1000)</x:f>
        <x:v>32.46504347826087</x:v>
      </x:c>
      <x:c r="Q32" s="10" t="n">
        <x:f>F32/(O32*1000)</x:f>
        <x:v>33.53425149700599</x:v>
      </x:c>
    </x:row>
    <x:row r="33">
      <x:c r="A33" t="str">
        <x:v>audio_noise.wav</x:v>
      </x:c>
      <x:c r="B33" t="str">
        <x:v>raw</x:v>
      </x:c>
      <x:c r="C33" t="n">
        <x:v>2</x:v>
      </x:c>
      <x:c r="D33" t="str">
        <x:v>localhost_127.0.0.1</x:v>
      </x:c>
      <x:c r="E33" t="str">
        <x:v>none</x:v>
      </x:c>
      <x:c r="F33" t="n">
        <x:v>1120044</x:v>
      </x:c>
      <x:c r="G33" t="n">
        <x:v>1120176</x:v>
      </x:c>
      <x:c r="H33" s="8" t="n">
        <x:f>G33/F33</x:f>
        <x:v>1.000117852512937</x:v>
      </x:c>
      <x:c r="I33" s="10" t="n">
        <x:f>H33*100</x:f>
        <x:v>100.0117852512937</x:v>
      </x:c>
      <x:c r="J33" s="10" t="n">
        <x:f>(1-H33)*100</x:f>
        <x:v>-0.011785251293705556</x:v>
      </x:c>
      <x:c r="K33" s="10" t="n">
        <x:v>0</x:v>
      </x:c>
      <x:c r="L33" s="10" t="n">
        <x:v>22.2</x:v>
      </x:c>
      <x:c r="M33" s="10" t="n">
        <x:v>0</x:v>
      </x:c>
      <x:c r="N33" s="10" t="n">
        <x:v>34</x:v>
      </x:c>
      <x:c r="O33" s="10" t="n">
        <x:v>33</x:v>
      </x:c>
      <x:c r="P33" s="10" t="n">
        <x:f>F33/(N33*1000)</x:f>
        <x:v>32.942470588235295</x:v>
      </x:c>
      <x:c r="Q33" s="10" t="n">
        <x:f>F33/(O33*1000)</x:f>
        <x:v>33.94072727272727</x:v>
      </x:c>
    </x:row>
    <x:row r="34">
      <x:c r="A34" t="str">
        <x:v>audio_noise.wav</x:v>
      </x:c>
      <x:c r="B34" t="str">
        <x:v>raw</x:v>
      </x:c>
      <x:c r="C34" t="n">
        <x:v>3</x:v>
      </x:c>
      <x:c r="D34" t="str">
        <x:v>localhost_127.0.0.1</x:v>
      </x:c>
      <x:c r="E34" t="str">
        <x:v>none</x:v>
      </x:c>
      <x:c r="F34" t="n">
        <x:v>1120044</x:v>
      </x:c>
      <x:c r="G34" t="n">
        <x:v>1120176</x:v>
      </x:c>
      <x:c r="H34" s="8" t="n">
        <x:f>G34/F34</x:f>
        <x:v>1.000117852512937</x:v>
      </x:c>
      <x:c r="I34" s="10" t="n">
        <x:f>H34*100</x:f>
        <x:v>100.0117852512937</x:v>
      </x:c>
      <x:c r="J34" s="10" t="n">
        <x:f>(1-H34)*100</x:f>
        <x:v>-0.011785251293705556</x:v>
      </x:c>
      <x:c r="K34" s="10" t="n">
        <x:v>0</x:v>
      </x:c>
      <x:c r="L34" s="10" t="n">
        <x:v>22.3</x:v>
      </x:c>
      <x:c r="M34" s="10" t="n">
        <x:v>0</x:v>
      </x:c>
      <x:c r="N34" s="10" t="n">
        <x:v>34.8</x:v>
      </x:c>
      <x:c r="O34" s="10" t="n">
        <x:v>33.8</x:v>
      </x:c>
      <x:c r="P34" s="10" t="n">
        <x:f>F34/(N34*1000)</x:f>
        <x:v>32.185172413793104</x:v>
      </x:c>
      <x:c r="Q34" s="10" t="n">
        <x:f>F34/(O34*1000)</x:f>
        <x:v>33.13739644970414</x:v>
      </x:c>
    </x:row>
    <x:row r="35">
      <x:c r="A35" t="str">
        <x:v>audio_noise.wav</x:v>
      </x:c>
      <x:c r="B35" t="str">
        <x:v>raw</x:v>
      </x:c>
      <x:c r="C35" t="n">
        <x:v>4</x:v>
      </x:c>
      <x:c r="D35" t="str">
        <x:v>localhost_127.0.0.1</x:v>
      </x:c>
      <x:c r="E35" t="str">
        <x:v>none</x:v>
      </x:c>
      <x:c r="F35" t="n">
        <x:v>1120044</x:v>
      </x:c>
      <x:c r="G35" t="n">
        <x:v>1120176</x:v>
      </x:c>
      <x:c r="H35" s="8" t="n">
        <x:f>G35/F35</x:f>
        <x:v>1.000117852512937</x:v>
      </x:c>
      <x:c r="I35" s="10" t="n">
        <x:f>H35*100</x:f>
        <x:v>100.0117852512937</x:v>
      </x:c>
      <x:c r="J35" s="10" t="n">
        <x:f>(1-H35)*100</x:f>
        <x:v>-0.011785251293705556</x:v>
      </x:c>
      <x:c r="K35" s="10" t="n">
        <x:v>0</x:v>
      </x:c>
      <x:c r="L35" s="10" t="n">
        <x:v>20.9</x:v>
      </x:c>
      <x:c r="M35" s="10" t="n">
        <x:v>0</x:v>
      </x:c>
      <x:c r="N35" s="10" t="n">
        <x:v>32.9</x:v>
      </x:c>
      <x:c r="O35" s="10" t="n">
        <x:v>31.8</x:v>
      </x:c>
      <x:c r="P35" s="10" t="n">
        <x:f>F35/(N35*1000)</x:f>
        <x:v>34.0438905775076</x:v>
      </x:c>
      <x:c r="Q35" s="10" t="n">
        <x:f>F35/(O35*1000)</x:f>
        <x:v>35.22150943396226</x:v>
      </x:c>
    </x:row>
    <x:row r="36">
      <x:c r="A36" t="str">
        <x:v>audio_noise.wav</x:v>
      </x:c>
      <x:c r="B36" t="str">
        <x:v>raw</x:v>
      </x:c>
      <x:c r="C36" t="n">
        <x:v>5</x:v>
      </x:c>
      <x:c r="D36" t="str">
        <x:v>localhost_127.0.0.1</x:v>
      </x:c>
      <x:c r="E36" t="str">
        <x:v>none</x:v>
      </x:c>
      <x:c r="F36" t="n">
        <x:v>1120044</x:v>
      </x:c>
      <x:c r="G36" t="n">
        <x:v>1120176</x:v>
      </x:c>
      <x:c r="H36" s="8" t="n">
        <x:f>G36/F36</x:f>
        <x:v>1.000117852512937</x:v>
      </x:c>
      <x:c r="I36" s="10" t="n">
        <x:f>H36*100</x:f>
        <x:v>100.0117852512937</x:v>
      </x:c>
      <x:c r="J36" s="10" t="n">
        <x:f>(1-H36)*100</x:f>
        <x:v>-0.011785251293705556</x:v>
      </x:c>
      <x:c r="K36" s="10" t="n">
        <x:v>0</x:v>
      </x:c>
      <x:c r="L36" s="10" t="n">
        <x:v>21.1</x:v>
      </x:c>
      <x:c r="M36" s="10" t="n">
        <x:v>0</x:v>
      </x:c>
      <x:c r="N36" s="10" t="n">
        <x:v>32.6</x:v>
      </x:c>
      <x:c r="O36" s="10" t="n">
        <x:v>31.5</x:v>
      </x:c>
      <x:c r="P36" s="10" t="n">
        <x:f>F36/(N36*1000)</x:f>
        <x:v>34.35717791411043</x:v>
      </x:c>
      <x:c r="Q36" s="10" t="n">
        <x:f>F36/(O36*1000)</x:f>
        <x:v>35.55695238095238</x:v>
      </x:c>
    </x:row>
    <x:row r="37">
      <x:c r="A37" t="str">
        <x:v>audio_noise.wav</x:v>
      </x:c>
      <x:c r="B37" t="str">
        <x:v>huff</x:v>
      </x:c>
      <x:c r="C37" t="n">
        <x:v>1</x:v>
      </x:c>
      <x:c r="D37" t="str">
        <x:v>localhost_127.0.0.1</x:v>
      </x:c>
      <x:c r="E37" t="str">
        <x:v>s16</x:v>
      </x:c>
      <x:c r="F37" t="n">
        <x:v>1120044</x:v>
      </x:c>
      <x:c r="G37" t="n">
        <x:v>1574998</x:v>
      </x:c>
      <x:c r="H37" s="8" t="n">
        <x:f>G37/F37</x:f>
        <x:v>1.4061929709904253</x:v>
      </x:c>
      <x:c r="I37" s="10" t="n">
        <x:f>H37*100</x:f>
        <x:v>140.61929709904254</x:v>
      </x:c>
      <x:c r="J37" s="10" t="n">
        <x:f>(1-H37)*100</x:f>
        <x:v>-40.61929709904253</x:v>
      </x:c>
      <x:c r="K37" s="10" t="n">
        <x:v>82.4</x:v>
      </x:c>
      <x:c r="L37" s="10" t="n">
        <x:v>37.6</x:v>
      </x:c>
      <x:c r="M37" s="10" t="n">
        <x:v>48.1</x:v>
      </x:c>
      <x:c r="N37" s="10" t="n">
        <x:v>178.9</x:v>
      </x:c>
      <x:c r="O37" s="10" t="n">
        <x:v>95.6</x:v>
      </x:c>
      <x:c r="P37" s="10" t="n">
        <x:f>F37/(N37*1000)</x:f>
        <x:v>6.26072666294019</x:v>
      </x:c>
      <x:c r="Q37" s="10" t="n">
        <x:f>F37/(O37*1000)</x:f>
        <x:v>11.715941422594142</x:v>
      </x:c>
    </x:row>
    <x:row r="38">
      <x:c r="A38" t="str">
        <x:v>audio_noise.wav</x:v>
      </x:c>
      <x:c r="B38" t="str">
        <x:v>huff</x:v>
      </x:c>
      <x:c r="C38" t="n">
        <x:v>2</x:v>
      </x:c>
      <x:c r="D38" t="str">
        <x:v>localhost_127.0.0.1</x:v>
      </x:c>
      <x:c r="E38" t="str">
        <x:v>s16</x:v>
      </x:c>
      <x:c r="F38" t="n">
        <x:v>1120044</x:v>
      </x:c>
      <x:c r="G38" t="n">
        <x:v>1574998</x:v>
      </x:c>
      <x:c r="H38" s="8" t="n">
        <x:f>G38/F38</x:f>
        <x:v>1.4061929709904253</x:v>
      </x:c>
      <x:c r="I38" s="10" t="n">
        <x:f>H38*100</x:f>
        <x:v>140.61929709904254</x:v>
      </x:c>
      <x:c r="J38" s="10" t="n">
        <x:f>(1-H38)*100</x:f>
        <x:v>-40.61929709904253</x:v>
      </x:c>
      <x:c r="K38" s="10" t="n">
        <x:v>83</x:v>
      </x:c>
      <x:c r="L38" s="10" t="n">
        <x:v>62.6</x:v>
      </x:c>
      <x:c r="M38" s="10" t="n">
        <x:v>34.5</x:v>
      </x:c>
      <x:c r="N38" s="10" t="n">
        <x:v>190.4</x:v>
      </x:c>
      <x:c r="O38" s="10" t="n">
        <x:v>106.6</x:v>
      </x:c>
      <x:c r="P38" s="10" t="n">
        <x:f>F38/(N38*1000)</x:f>
        <x:v>5.882584033613445</x:v>
      </x:c>
      <x:c r="Q38" s="10" t="n">
        <x:f>F38/(O38*1000)</x:f>
        <x:v>10.506979362101314</x:v>
      </x:c>
    </x:row>
    <x:row r="39">
      <x:c r="A39" t="str">
        <x:v>audio_noise.wav</x:v>
      </x:c>
      <x:c r="B39" t="str">
        <x:v>huff</x:v>
      </x:c>
      <x:c r="C39" t="n">
        <x:v>3</x:v>
      </x:c>
      <x:c r="D39" t="str">
        <x:v>localhost_127.0.0.1</x:v>
      </x:c>
      <x:c r="E39" t="str">
        <x:v>s16</x:v>
      </x:c>
      <x:c r="F39" t="n">
        <x:v>1120044</x:v>
      </x:c>
      <x:c r="G39" t="n">
        <x:v>1574998</x:v>
      </x:c>
      <x:c r="H39" s="8" t="n">
        <x:f>G39/F39</x:f>
        <x:v>1.4061929709904253</x:v>
      </x:c>
      <x:c r="I39" s="10" t="n">
        <x:f>H39*100</x:f>
        <x:v>140.61929709904254</x:v>
      </x:c>
      <x:c r="J39" s="10" t="n">
        <x:f>(1-H39)*100</x:f>
        <x:v>-40.61929709904253</x:v>
      </x:c>
      <x:c r="K39" s="10" t="n">
        <x:v>80.7</x:v>
      </x:c>
      <x:c r="L39" s="10" t="n">
        <x:v>35.8</x:v>
      </x:c>
      <x:c r="M39" s="10" t="n">
        <x:v>33.6</x:v>
      </x:c>
      <x:c r="N39" s="10" t="n">
        <x:v>161</x:v>
      </x:c>
      <x:c r="O39" s="10" t="n">
        <x:v>79.3</x:v>
      </x:c>
      <x:c r="P39" s="10" t="n">
        <x:f>F39/(N39*1000)</x:f>
        <x:v>6.956795031055901</x:v>
      </x:c>
      <x:c r="Q39" s="10" t="n">
        <x:f>F39/(O39*1000)</x:f>
        <x:v>14.124136191677175</x:v>
      </x:c>
    </x:row>
    <x:row r="40">
      <x:c r="A40" t="str">
        <x:v>audio_noise.wav</x:v>
      </x:c>
      <x:c r="B40" t="str">
        <x:v>huff</x:v>
      </x:c>
      <x:c r="C40" t="n">
        <x:v>4</x:v>
      </x:c>
      <x:c r="D40" t="str">
        <x:v>localhost_127.0.0.1</x:v>
      </x:c>
      <x:c r="E40" t="str">
        <x:v>s16</x:v>
      </x:c>
      <x:c r="F40" t="n">
        <x:v>1120044</x:v>
      </x:c>
      <x:c r="G40" t="n">
        <x:v>1574998</x:v>
      </x:c>
      <x:c r="H40" s="8" t="n">
        <x:f>G40/F40</x:f>
        <x:v>1.4061929709904253</x:v>
      </x:c>
      <x:c r="I40" s="10" t="n">
        <x:f>H40*100</x:f>
        <x:v>140.61929709904254</x:v>
      </x:c>
      <x:c r="J40" s="10" t="n">
        <x:f>(1-H40)*100</x:f>
        <x:v>-40.61929709904253</x:v>
      </x:c>
      <x:c r="K40" s="10" t="n">
        <x:v>80.7</x:v>
      </x:c>
      <x:c r="L40" s="10" t="n">
        <x:v>34.1</x:v>
      </x:c>
      <x:c r="M40" s="10" t="n">
        <x:v>34.1</x:v>
      </x:c>
      <x:c r="N40" s="10" t="n">
        <x:v>159.5</x:v>
      </x:c>
      <x:c r="O40" s="10" t="n">
        <x:v>77.7</x:v>
      </x:c>
      <x:c r="P40" s="10" t="n">
        <x:f>F40/(N40*1000)</x:f>
        <x:v>7.022219435736677</x:v>
      </x:c>
      <x:c r="Q40" s="10" t="n">
        <x:f>F40/(O40*1000)</x:f>
        <x:v>14.414980694980695</x:v>
      </x:c>
    </x:row>
    <x:row r="41">
      <x:c r="A41" t="str">
        <x:v>audio_noise.wav</x:v>
      </x:c>
      <x:c r="B41" t="str">
        <x:v>huff</x:v>
      </x:c>
      <x:c r="C41" t="n">
        <x:v>5</x:v>
      </x:c>
      <x:c r="D41" t="str">
        <x:v>localhost_127.0.0.1</x:v>
      </x:c>
      <x:c r="E41" t="str">
        <x:v>s16</x:v>
      </x:c>
      <x:c r="F41" t="n">
        <x:v>1120044</x:v>
      </x:c>
      <x:c r="G41" t="n">
        <x:v>1574998</x:v>
      </x:c>
      <x:c r="H41" s="8" t="n">
        <x:f>G41/F41</x:f>
        <x:v>1.4061929709904253</x:v>
      </x:c>
      <x:c r="I41" s="10" t="n">
        <x:f>H41*100</x:f>
        <x:v>140.61929709904254</x:v>
      </x:c>
      <x:c r="J41" s="10" t="n">
        <x:f>(1-H41)*100</x:f>
        <x:v>-40.61929709904253</x:v>
      </x:c>
      <x:c r="K41" s="10" t="n">
        <x:v>93</x:v>
      </x:c>
      <x:c r="L41" s="10" t="n">
        <x:v>20</x:v>
      </x:c>
      <x:c r="M41" s="10" t="n">
        <x:v>32.2</x:v>
      </x:c>
      <x:c r="N41" s="10" t="n">
        <x:v>162.5</x:v>
      </x:c>
      <x:c r="O41" s="10" t="n">
        <x:v>68.6</x:v>
      </x:c>
      <x:c r="P41" s="10" t="n">
        <x:f>F41/(N41*1000)</x:f>
        <x:v>6.892578461538461</x:v>
      </x:c>
      <x:c r="Q41" s="10" t="n">
        <x:f>F41/(O41*1000)</x:f>
        <x:v>16.32717201166181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9" max="19" width="20" hidden="0" customWidth="1"/>
    <x:col min="20" max="20" width="18" hidden="0" customWidth="1"/>
    <x:col min="21" max="21" width="18" hidden="0" customWidth="1"/>
  </x:cols>
  <x:sheetData>
    <x:row r="1" ht="32" customHeight="1">
      <x:c r="A1" s="6" t="str">
        <x:v>file</x:v>
      </x:c>
      <x:c r="B1" s="6" t="str">
        <x:v>mode</x:v>
      </x:c>
      <x:c r="C1" s="6" t="str">
        <x:v>runs</x:v>
      </x:c>
      <x:c r="D1" s="6" t="str">
        <x:v>environment</x:v>
      </x:c>
      <x:c r="E1" s="6" t="str">
        <x:v>sym</x:v>
      </x:c>
      <x:c r="F1" s="6" t="str">
        <x:v>file_bytes</x:v>
      </x:c>
      <x:c r="G1" s="6" t="str">
        <x:v>wire_bytes</x:v>
      </x:c>
      <x:c r="H1" s="6" t="str">
        <x:v>ratio</x:v>
      </x:c>
      <x:c r="I1" s="6" t="str">
        <x:v>compressed_pct</x:v>
      </x:c>
      <x:c r="J1" s="6" t="str">
        <x:v>saved_pct</x:v>
      </x:c>
      <x:c r="K1" s="6" t="str">
        <x:v>encode_ms</x:v>
      </x:c>
      <x:c r="L1" s="6" t="str">
        <x:v>send_ms</x:v>
      </x:c>
      <x:c r="M1" s="6" t="str">
        <x:v>decode_ms</x:v>
      </x:c>
      <x:c r="N1" s="6" t="str">
        <x:v>sender_total_ms</x:v>
      </x:c>
      <x:c r="O1" s="6" t="str">
        <x:v>receiver_total_ms</x:v>
      </x:c>
      <x:c r="P1" s="6" t="str">
        <x:v>sender_MBps</x:v>
      </x:c>
      <x:c r="Q1" s="6" t="str">
        <x:v>receiver_MBps</x:v>
      </x:c>
      <x:c r="S1" s="3" t="str">
        <x:v>File</x:v>
      </x:c>
      <x:c r="T1" s="3" t="str">
        <x:v>RAW total_ms</x:v>
      </x:c>
      <x:c r="U1" s="3" t="str">
        <x:v>HUFF total_ms</x:v>
      </x:c>
    </x:row>
    <x:row r="2">
      <x:c r="A2" t="str">
        <x:v>real_chinese.txt</x:v>
      </x:c>
      <x:c r="B2" t="str">
        <x:v>raw</x:v>
      </x:c>
      <x:c r="C2" t="n">
        <x:v>5</x:v>
      </x:c>
      <x:c r="D2" t="str">
        <x:v>localhost_127.0.0.1</x:v>
      </x:c>
      <x:c r="E2" t="str">
        <x:v>none</x:v>
      </x:c>
      <x:c r="F2" t="n">
        <x:v>1200335</x:v>
      </x:c>
      <x:c r="G2" t="n">
        <x:v>1200473</x:v>
      </x:c>
      <x:c r="H2" s="8" t="n">
        <x:v>1.0001149679047932</x:v>
      </x:c>
      <x:c r="I2" s="10" t="n">
        <x:v>100.01149679047933</x:v>
      </x:c>
      <x:c r="J2" s="10" t="n">
        <x:v>-0.011496790479315067</x:v>
      </x:c>
      <x:c r="K2" s="10" t="n">
        <x:v>0</x:v>
      </x:c>
      <x:c r="L2" s="10" t="n">
        <x:v>24.4</x:v>
      </x:c>
      <x:c r="M2" s="10" t="n">
        <x:v>0</x:v>
      </x:c>
      <x:c r="N2" s="10" t="n">
        <x:v>35</x:v>
      </x:c>
      <x:c r="O2" s="10" t="n">
        <x:v>33.8</x:v>
      </x:c>
      <x:c r="P2" s="10" t="n">
        <x:v>34.29528571428571</x:v>
      </x:c>
      <x:c r="Q2" s="10" t="n">
        <x:v>35.51286982248521</x:v>
      </x:c>
      <x:c r="S2" t="str">
        <x:v>Chinese text</x:v>
      </x:c>
      <x:c r="T2" t="n">
        <x:v>35</x:v>
      </x:c>
      <x:c r="U2" t="n">
        <x:v>51.8</x:v>
      </x:c>
    </x:row>
    <x:row r="3">
      <x:c r="A3" t="str">
        <x:v>real_chinese.txt</x:v>
      </x:c>
      <x:c r="B3" t="str">
        <x:v>huff</x:v>
      </x:c>
      <x:c r="C3" t="n">
        <x:v>5</x:v>
      </x:c>
      <x:c r="D3" t="str">
        <x:v>localhost_127.0.0.1</x:v>
      </x:c>
      <x:c r="E3" t="str">
        <x:v>char</x:v>
      </x:c>
      <x:c r="F3" t="n">
        <x:v>1200335</x:v>
      </x:c>
      <x:c r="G3" t="n">
        <x:v>388786</x:v>
      </x:c>
      <x:c r="H3" s="8" t="n">
        <x:v>0.32389791183294664</x:v>
      </x:c>
      <x:c r="I3" s="10" t="n">
        <x:v>32.38979118329466</x:v>
      </x:c>
      <x:c r="J3" s="10" t="n">
        <x:v>67.61020881670534</x:v>
      </x:c>
      <x:c r="K3" s="10" t="n">
        <x:v>27.9</x:v>
      </x:c>
      <x:c r="L3" s="10" t="n">
        <x:v>3.7</x:v>
      </x:c>
      <x:c r="M3" s="10" t="n">
        <x:v>8.9</x:v>
      </x:c>
      <x:c r="N3" s="10" t="n">
        <x:v>51.8</x:v>
      </x:c>
      <x:c r="O3" s="10" t="n">
        <x:v>22.6</x:v>
      </x:c>
      <x:c r="P3" s="10" t="n">
        <x:v>23.17249034749035</x:v>
      </x:c>
      <x:c r="Q3" s="10" t="n">
        <x:v>53.11216814159292</x:v>
      </x:c>
      <x:c r="S3" t="str">
        <x:v>English text</x:v>
      </x:c>
      <x:c r="T3" t="n">
        <x:v>37.1</x:v>
      </x:c>
      <x:c r="U3" t="n">
        <x:v>85</x:v>
      </x:c>
    </x:row>
    <x:row r="4">
      <x:c r="A4" t="str">
        <x:v>real_english.txt</x:v>
      </x:c>
      <x:c r="B4" t="str">
        <x:v>raw</x:v>
      </x:c>
      <x:c r="C4" t="n">
        <x:v>5</x:v>
      </x:c>
      <x:c r="D4" t="str">
        <x:v>localhost_127.0.0.1</x:v>
      </x:c>
      <x:c r="E4" t="str">
        <x:v>none</x:v>
      </x:c>
      <x:c r="F4" t="n">
        <x:v>1258581</x:v>
      </x:c>
      <x:c r="G4" t="n">
        <x:v>1258724</x:v>
      </x:c>
      <x:c r="H4" s="8" t="n">
        <x:v>1.000113620021278</x:v>
      </x:c>
      <x:c r="I4" s="10" t="n">
        <x:v>100.0113620021278</x:v>
      </x:c>
      <x:c r="J4" s="10" t="n">
        <x:v>-0.011362002127790483</x:v>
      </x:c>
      <x:c r="K4" s="10" t="n">
        <x:v>0</x:v>
      </x:c>
      <x:c r="L4" s="10" t="n">
        <x:v>24.3</x:v>
      </x:c>
      <x:c r="M4" s="10" t="n">
        <x:v>0</x:v>
      </x:c>
      <x:c r="N4" s="10" t="n">
        <x:v>37.1</x:v>
      </x:c>
      <x:c r="O4" s="10" t="n">
        <x:v>35.9</x:v>
      </x:c>
      <x:c r="P4" s="10" t="n">
        <x:v>33.92401617250674</x:v>
      </x:c>
      <x:c r="Q4" s="10" t="n">
        <x:v>35.05796657381616</x:v>
      </x:c>
      <x:c r="S4" t="str">
        <x:v>Music WAV</x:v>
      </x:c>
      <x:c r="T4" t="n">
        <x:v>92.8</x:v>
      </x:c>
      <x:c r="U4" t="n">
        <x:v>389.1</x:v>
      </x:c>
    </x:row>
    <x:row r="5">
      <x:c r="A5" t="str">
        <x:v>real_english.txt</x:v>
      </x:c>
      <x:c r="B5" t="str">
        <x:v>huff</x:v>
      </x:c>
      <x:c r="C5" t="n">
        <x:v>5</x:v>
      </x:c>
      <x:c r="D5" t="str">
        <x:v>localhost_127.0.0.1</x:v>
      </x:c>
      <x:c r="E5" t="str">
        <x:v>char</x:v>
      </x:c>
      <x:c r="F5" t="n">
        <x:v>1258581</x:v>
      </x:c>
      <x:c r="G5" t="n">
        <x:v>679187</x:v>
      </x:c>
      <x:c r="H5" s="8" t="n">
        <x:v>0.5396450446971629</x:v>
      </x:c>
      <x:c r="I5" s="10" t="n">
        <x:v>53.96450446971629</x:v>
      </x:c>
      <x:c r="J5" s="10" t="n">
        <x:v>46.03549553028371</x:v>
      </x:c>
      <x:c r="K5" s="10" t="n">
        <x:v>42.6</x:v>
      </x:c>
      <x:c r="L5" s="10" t="n">
        <x:v>9.4</x:v>
      </x:c>
      <x:c r="M5" s="10" t="n">
        <x:v>20.5</x:v>
      </x:c>
      <x:c r="N5" s="10" t="n">
        <x:v>85</x:v>
      </x:c>
      <x:c r="O5" s="10" t="n">
        <x:v>40.9</x:v>
      </x:c>
      <x:c r="P5" s="10" t="n">
        <x:v>14.806835294117647</x:v>
      </x:c>
      <x:c r="Q5" s="10" t="n">
        <x:v>30.772151589242053</x:v>
      </x:c>
      <x:c r="S5" t="str">
        <x:v>Noise WAV</x:v>
      </x:c>
      <x:c r="T5" t="n">
        <x:v>34</x:v>
      </x:c>
      <x:c r="U5" t="n">
        <x:v>162.5</x:v>
      </x:c>
    </x:row>
    <x:row r="6">
      <x:c r="A6" t="str">
        <x:v>audio_music_20s.wav</x:v>
      </x:c>
      <x:c r="B6" t="str">
        <x:v>raw</x:v>
      </x:c>
      <x:c r="C6" t="n">
        <x:v>5</x:v>
      </x:c>
      <x:c r="D6" t="str">
        <x:v>localhost_127.0.0.1</x:v>
      </x:c>
      <x:c r="E6" t="str">
        <x:v>none</x:v>
      </x:c>
      <x:c r="F6" t="n">
        <x:v>3528044</x:v>
      </x:c>
      <x:c r="G6" t="n">
        <x:v>3528360</x:v>
      </x:c>
      <x:c r="H6" s="8" t="n">
        <x:v>1.000089568043936</x:v>
      </x:c>
      <x:c r="I6" s="10" t="n">
        <x:v>100.00895680439359</x:v>
      </x:c>
      <x:c r="J6" s="10" t="n">
        <x:v>-0.00895680439358948</x:v>
      </x:c>
      <x:c r="K6" s="10" t="n">
        <x:v>0</x:v>
      </x:c>
      <x:c r="L6" s="10" t="n">
        <x:v>76.1</x:v>
      </x:c>
      <x:c r="M6" s="10" t="n">
        <x:v>0</x:v>
      </x:c>
      <x:c r="N6" s="10" t="n">
        <x:v>92.8</x:v>
      </x:c>
      <x:c r="O6" s="10" t="n">
        <x:v>91.3</x:v>
      </x:c>
      <x:c r="P6" s="10" t="n">
        <x:v>38.01771551724138</x:v>
      </x:c>
      <x:c r="Q6" s="10" t="n">
        <x:v>38.64232201533407</x:v>
      </x:c>
    </x:row>
    <x:row r="7">
      <x:c r="A7" t="str">
        <x:v>audio_music_20s.wav</x:v>
      </x:c>
      <x:c r="B7" t="str">
        <x:v>huff</x:v>
      </x:c>
      <x:c r="C7" t="n">
        <x:v>5</x:v>
      </x:c>
      <x:c r="D7" t="str">
        <x:v>localhost_127.0.0.1</x:v>
      </x:c>
      <x:c r="E7" t="str">
        <x:v>s16</x:v>
      </x:c>
      <x:c r="F7" t="n">
        <x:v>3528044</x:v>
      </x:c>
      <x:c r="G7" t="n">
        <x:v>3828268</x:v>
      </x:c>
      <x:c r="H7" s="8" t="n">
        <x:v>1.0850964443754103</x:v>
      </x:c>
      <x:c r="I7" s="10" t="n">
        <x:v>108.50964443754103</x:v>
      </x:c>
      <x:c r="J7" s="10" t="n">
        <x:v>-8.50964443754103</x:v>
      </x:c>
      <x:c r="K7" s="10" t="n">
        <x:v>201.1</x:v>
      </x:c>
      <x:c r="L7" s="10" t="n">
        <x:v>85.7</x:v>
      </x:c>
      <x:c r="M7" s="10" t="n">
        <x:v>82.4</x:v>
      </x:c>
      <x:c r="N7" s="10" t="n">
        <x:v>389.1</x:v>
      </x:c>
      <x:c r="O7" s="10" t="n">
        <x:v>184.1</x:v>
      </x:c>
      <x:c r="P7" s="10" t="n">
        <x:v>9.067190953482395</x:v>
      </x:c>
      <x:c r="Q7" s="10" t="n">
        <x:v>19.1637370994025</x:v>
      </x:c>
    </x:row>
    <x:row r="8">
      <x:c r="A8" t="str">
        <x:v>audio_noise.wav</x:v>
      </x:c>
      <x:c r="B8" t="str">
        <x:v>raw</x:v>
      </x:c>
      <x:c r="C8" t="n">
        <x:v>5</x:v>
      </x:c>
      <x:c r="D8" t="str">
        <x:v>localhost_127.0.0.1</x:v>
      </x:c>
      <x:c r="E8" t="str">
        <x:v>none</x:v>
      </x:c>
      <x:c r="F8" t="n">
        <x:v>1120044</x:v>
      </x:c>
      <x:c r="G8" t="n">
        <x:v>1120176</x:v>
      </x:c>
      <x:c r="H8" s="8" t="n">
        <x:v>1.000117852512937</x:v>
      </x:c>
      <x:c r="I8" s="10" t="n">
        <x:v>100.0117852512937</x:v>
      </x:c>
      <x:c r="J8" s="10" t="n">
        <x:v>-0.011785251293705556</x:v>
      </x:c>
      <x:c r="K8" s="10" t="n">
        <x:v>0</x:v>
      </x:c>
      <x:c r="L8" s="10" t="n">
        <x:v>21.8</x:v>
      </x:c>
      <x:c r="M8" s="10" t="n">
        <x:v>0</x:v>
      </x:c>
      <x:c r="N8" s="10" t="n">
        <x:v>34</x:v>
      </x:c>
      <x:c r="O8" s="10" t="n">
        <x:v>33</x:v>
      </x:c>
      <x:c r="P8" s="10" t="n">
        <x:v>32.942470588235295</x:v>
      </x:c>
      <x:c r="Q8" s="10" t="n">
        <x:v>33.94072727272727</x:v>
      </x:c>
    </x:row>
    <x:row r="9">
      <x:c r="A9" t="str">
        <x:v>audio_noise.wav</x:v>
      </x:c>
      <x:c r="B9" t="str">
        <x:v>huff</x:v>
      </x:c>
      <x:c r="C9" t="n">
        <x:v>5</x:v>
      </x:c>
      <x:c r="D9" t="str">
        <x:v>localhost_127.0.0.1</x:v>
      </x:c>
      <x:c r="E9" t="str">
        <x:v>s16</x:v>
      </x:c>
      <x:c r="F9" t="n">
        <x:v>1120044</x:v>
      </x:c>
      <x:c r="G9" t="n">
        <x:v>1574998</x:v>
      </x:c>
      <x:c r="H9" s="8" t="n">
        <x:v>1.4061929709904253</x:v>
      </x:c>
      <x:c r="I9" s="10" t="n">
        <x:v>140.61929709904254</x:v>
      </x:c>
      <x:c r="J9" s="10" t="n">
        <x:v>-40.61929709904253</x:v>
      </x:c>
      <x:c r="K9" s="10" t="n">
        <x:v>82.4</x:v>
      </x:c>
      <x:c r="L9" s="10" t="n">
        <x:v>35.8</x:v>
      </x:c>
      <x:c r="M9" s="10" t="n">
        <x:v>34.1</x:v>
      </x:c>
      <x:c r="N9" s="10" t="n">
        <x:v>162.5</x:v>
      </x:c>
      <x:c r="O9" s="10" t="n">
        <x:v>79.3</x:v>
      </x:c>
      <x:c r="P9" s="10" t="n">
        <x:v>6.892578461538461</x:v>
      </x:c>
      <x:c r="Q9" s="10" t="n">
        <x:v>14.124136191677175</x:v>
      </x:c>
    </x:row>
  </x:sheetData>
  <x:pageMargins left="0.7" right="0.7" top="0.75" bottom="0.75" header="0.3" footer="0.3"/>
  <x:drawing xmlns:r="http://schemas.openxmlformats.org/officeDocument/2006/relationships" r:id="R70ea9c49d67b41a8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2" hidden="0" customWidth="1"/>
  </x:cols>
  <x:sheetData>
    <x:row r="1">
      <x:c r="A1" s="3" t="str">
        <x:v>項目</x:v>
      </x:c>
      <x:c r="B1" s="3" t="str">
        <x:v>定義／說明</x:v>
      </x:c>
    </x:row>
    <x:row r="2" ht="34" customHeight="1">
      <x:c r="A2" t="str">
        <x:v>資料集</x:v>
      </x:c>
      <x:c r="B2" s="12" t="str">
        <x:v>2026-10-09 TextLink formal benchmark, 4 files × 2 modes × 5 trials; localhost only</x:v>
      </x:c>
    </x:row>
    <x:row r="3" ht="34" customHeight="1">
      <x:c r="A3" t="str">
        <x:v>ratio</x:v>
      </x:c>
      <x:c r="B3" s="12" t="str">
        <x:v>wire_bytes / file_bytes，1.0 表示傳輸量與原檔相等；超過 1.0 為膨脹</x:v>
      </x:c>
    </x:row>
    <x:row r="4" ht="34" customHeight="1">
      <x:c r="A4" t="str">
        <x:v>compressed_pct</x:v>
      </x:c>
      <x:c r="B4" s="12" t="str">
        <x:v>100 × ratio。例：32.39% 代表傳輸量為原始檔案的 32.39%</x:v>
      </x:c>
    </x:row>
    <x:row r="5" ht="34" customHeight="1">
      <x:c r="A5" t="str">
        <x:v>saved_pct</x:v>
      </x:c>
      <x:c r="B5" s="12" t="str">
        <x:v>100 × (1 - ratio)。負數代表傳輸量增加</x:v>
      </x:c>
    </x:row>
    <x:row r="6" ht="34" customHeight="1">
      <x:c r="A6" t="str">
        <x:v>sender_MBps</x:v>
      </x:c>
      <x:c r="B6" s="12" t="str">
        <x:v>file_bytes / (sender_total_ms × 1000)，十進位 MB/s</x:v>
      </x:c>
    </x:row>
    <x:row r="7" ht="34" customHeight="1">
      <x:c r="A7" t="str">
        <x:v>receiver_MBps</x:v>
      </x:c>
      <x:c r="B7" s="12" t="str">
        <x:v>file_bytes / (receiver_total_ms × 1000)，十進位 MB/s</x:v>
      </x:c>
    </x:row>
    <x:row r="8" ht="34" customHeight="1">
      <x:c r="A8" t="str">
        <x:v>total_ms</x:v>
      </x:c>
      <x:c r="B8" s="12" t="str">
        <x:v>sender 和 receiver 的 total_ms 是各端獨立量測；不可相加作為端到端延遲</x:v>
      </x:c>
    </x:row>
    <x:row r="9" ht="34" customHeight="1">
      <x:c r="A9" t="str">
        <x:v>中位數</x:v>
      </x:c>
      <x:c r="B9" s="12" t="str">
        <x:v>對每個檔案/模式各欄分別取五筆中位數；不同欄中位數不一定出自同一 Trial</x:v>
      </x:c>
    </x:row>
    <x:row r="10" ht="34" customHeight="1">
      <x:c r="A10" t="str">
        <x:v>精度</x:v>
      </x:c>
      <x:c r="B10" s="12" t="str">
        <x:v>STATS 中的 ratio 只印四位小數；CSV 以 file_bytes 和 wire_bytes 計算精確 ratio</x:v>
      </x:c>
    </x:row>
    <x:row r="11" ht="34" customHeight="1">
      <x:c r="A11" t="str">
        <x:v>來源</x:v>
      </x:c>
      <x:c r="B11" s="12" t="str">
        <x:v>此活頁簿按使用者在對話中提供的 40 筆 send/recv STATS 逐列整理</x:v>
      </x:c>
    </x:row>
    <x:row r="12" ht="34" customHeight="1">
      <x:c r="A12" t="str">
        <x:v>試驗結果驗證</x:v>
      </x:c>
      <x:c r="B12" s="12" t="str">
        <x:v>先前各測試類別已進行 FC /b 功能驗證；沒有逐筆 SHA-256 證據，故不逐筆標註 PASS</x:v>
      </x:c>
    </x:row>
    <x:row r="13" ht="34" customHeight="1">
      <x:c r="A13" t="str">
        <x:v>環境限制</x:v>
      </x:c>
      <x:c r="B13" s="12" t="str">
        <x:v>僅 localhost；雙電腦網路條件的正式數值未包含在內</x:v>
      </x:c>
    </x:row>
  </x:sheetData>
  <x:pageMargins left="0.7" right="0.7" top="0.75" bottom="0.75" header="0.3" footer="0.3"/>
</x:worksheet>
</file>