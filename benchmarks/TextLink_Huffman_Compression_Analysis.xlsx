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5a163673f4a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壓縮率總覽" sheetId="1" r:id="R9fd14a124133477c"/>
    <x:sheet xmlns:r="http://schemas.openxmlformats.org/officeDocument/2006/relationships" name="編碼拆解" sheetId="2" r:id="Rfe0a48061af044a8"/>
    <x:sheet xmlns:r="http://schemas.openxmlformats.org/officeDocument/2006/relationships" name="符號模式比較" sheetId="3" r:id="R63dfd2c2e83e45dc"/>
    <x:sheet xmlns:r="http://schemas.openxmlformats.org/officeDocument/2006/relationships" name="公式與來源" sheetId="4" r:id="Rc8545ac40ec4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0"/>
    <x:numFmt numFmtId="202" formatCode="#,##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0"/>
      <x:color rgb="FF526277"/>
      <x:name val="Carlito"/>
    </x:font>
    <x:font>
      <x:b/>
      <x:sz val="11"/>
      <x:color rgb="FF17365D"/>
      <x:name val="Carlito"/>
    </x:font>
    <x:font>
      <x:sz val="10"/>
      <x:color rgb="FF314158"/>
      <x:name val="Carlito"/>
    </x:font>
    <x:font>
      <x:b/>
      <x:sz val="17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06A82"/>
      </x:patternFill>
    </x:fill>
    <x:fill>
      <x:patternFill patternType="solid">
        <x:fgColor rgb="FFE8EE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0385ad30ef4168" /><Relationship Type="http://schemas.openxmlformats.org/officeDocument/2006/relationships/theme" Target="/xl/theme/theme1.xml" Id="R12147bb33df34e4a" /><Relationship Type="http://schemas.openxmlformats.org/officeDocument/2006/relationships/sharedStrings" Target="/xl/sharedStrings.xml" Id="Rfaf9775fc72e4d76" /><Relationship Type="http://schemas.openxmlformats.org/officeDocument/2006/relationships/worksheet" Target="/xl/worksheets/sheet1.xml" Id="R9fd14a124133477c" /><Relationship Type="http://schemas.openxmlformats.org/officeDocument/2006/relationships/worksheet" Target="/xl/worksheets/sheet2.xml" Id="Rfe0a48061af044a8" /><Relationship Type="http://schemas.openxmlformats.org/officeDocument/2006/relationships/worksheet" Target="/xl/worksheets/sheet3.xml" Id="R63dfd2c2e83e45dc" /><Relationship Type="http://schemas.openxmlformats.org/officeDocument/2006/relationships/worksheet" Target="/xl/worksheets/sheet4.xml" Id="Rc8545ac40ec449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1f1bfe573c9438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e25b18c3fe2446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純 Bitstream</c:v>
          </c:tx>
          <c:cat>
            <c:strRef>
              <c:f>'壓縮率總覽'!$A$6:$A$9</c:f>
              <c:strCache>
                <c:ptCount val="0"/>
              </c:strCache>
            </c:strRef>
          </c:cat>
          <c:val>
            <c:numRef>
              <c:f>'壓縮率總覽'!$F$6:$F$9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Wire（含協定）</c:v>
          </c:tx>
          <c:cat>
            <c:strRef>
              <c:f>'壓縮率總覽'!$A$6:$A$9</c:f>
              <c:strCache>
                <c:ptCount val="0"/>
              </c:strCache>
            </c:strRef>
          </c:cat>
          <c:val>
            <c:numRef>
              <c:f>'壓縮率總覽'!$H$6:$H$9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原生模式</c:v>
          </c:tx>
          <c:cat>
            <c:strRef>
              <c:f>'符號模式比較'!$A$5:$A$8</c:f>
              <c:strCache>
                <c:ptCount val="0"/>
              </c:strCache>
            </c:strRef>
          </c:cat>
          <c:val>
            <c:numRef>
              <c:f>'符號模式比較'!$I$5:$I$8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BYTE</c:v>
          </c:tx>
          <c:cat>
            <c:strRef>
              <c:f>'符號模式比較'!$A$5:$A$8</c:f>
              <c:strCache>
                <c:ptCount val="0"/>
              </c:strCache>
            </c:strRef>
          </c:cat>
          <c:val>
            <c:numRef>
              <c:f>'符號模式比較'!$J$5:$J$8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1f1bfe573c9438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25b18c3fe2446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619880c8dc247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86d2253636244ab1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15" t="str">
        <x:v>TextLink｜Huffman 壓縮率完整分析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 ht="24" customHeight="1">
      <x:c r="A3" s="18" t="str">
        <x:v>C 編碼器實際輸出 × Python 熵統計｜數值採正式四檔、原生符號模式；非雙機量測</x:v>
      </x:c>
      <x:c r="B3" s="18"/>
      <x:c r="C3" s="18"/>
      <x:c r="D3" s="18"/>
      <x:c r="E3" s="18"/>
      <x:c r="F3" s="18"/>
      <x:c r="G3" s="18"/>
      <x:c r="H3" s="18"/>
    </x:row>
    <x:row r="5" ht="32" customHeight="1">
      <x:c r="A5" s="22" t="str">
        <x:v>檔案</x:v>
      </x:c>
      <x:c r="B5" s="22" t="str">
        <x:v>N</x:v>
      </x:c>
      <x:c r="C5" s="22" t="str">
        <x:v>K</x:v>
      </x:c>
      <x:c r="D5" s="22" t="str">
        <x:v>H</x:v>
      </x:c>
      <x:c r="E5" s="22" t="str">
        <x:v>L</x:v>
      </x:c>
      <x:c r="F5" s="22" t="str">
        <x:v>純編碼比例</x:v>
      </x:c>
      <x:c r="G5" s="22" t="str">
        <x:v>完整 Huffman 比例</x:v>
      </x:c>
      <x:c r="H5" s="22" t="str">
        <x:v>上線比例</x:v>
      </x:c>
    </x:row>
    <x:row r="6" ht="28" customHeight="1">
      <x:c r="A6" t="str">
        <x:f>'編碼拆解'!A2</x:f>
        <x:v>中文文章</x:v>
      </x:c>
      <x:c r="B6" s="6" t="n">
        <x:f>'編碼拆解'!D2</x:f>
        <x:v>403185</x:v>
      </x:c>
      <x:c r="C6" s="6" t="n">
        <x:f>'編碼拆解'!E2</x:f>
        <x:v>373</x:v>
      </x:c>
      <x:c r="D6" s="4" t="n">
        <x:f>'編碼拆解'!F2</x:f>
        <x:v>7.602</x:v>
      </x:c>
      <x:c r="E6" s="4" t="n">
        <x:f>'編碼拆解'!G2</x:f>
        <x:v>7.646</x:v>
      </x:c>
      <x:c r="F6" s="2" t="n">
        <x:f>'編碼拆解'!P2</x:f>
        <x:v>0.3210295459184311</x:v>
      </x:c>
      <x:c r="G6" s="2" t="n">
        <x:f>'編碼拆解'!Q2</x:f>
        <x:v>0.32383709547751255</x:v>
      </x:c>
      <x:c r="H6" s="2" t="n">
        <x:f>'編碼拆解'!R2</x:f>
        <x:v>0.32389791183294664</x:v>
      </x:c>
    </x:row>
    <x:row r="7" ht="28" customHeight="1">
      <x:c r="A7" t="str">
        <x:f>'編碼拆解'!A4</x:f>
        <x:v>英文文章</x:v>
      </x:c>
      <x:c r="B7" s="6" t="n">
        <x:f>'編碼拆解'!D4</x:f>
        <x:v>1256253</x:v>
      </x:c>
      <x:c r="C7" s="6" t="n">
        <x:f>'編碼拆解'!E4</x:f>
        <x:v>57</x:v>
      </x:c>
      <x:c r="D7" s="4" t="n">
        <x:f>'編碼拆解'!F4</x:f>
        <x:v>4.3054</x:v>
      </x:c>
      <x:c r="E7" s="4" t="n">
        <x:f>'編碼拆解'!G4</x:f>
        <x:v>4.3212</x:v>
      </x:c>
      <x:c r="F7" s="2" t="n">
        <x:f>'編碼拆解'!P4</x:f>
        <x:v>0.5391492482406774</x:v>
      </x:c>
      <x:c r="G7" s="2" t="n">
        <x:f>'編碼拆解'!Q4</x:f>
        <x:v>0.5395671792280354</x:v>
      </x:c>
      <x:c r="H7" s="2" t="n">
        <x:f>'編碼拆解'!R4</x:f>
        <x:v>0.5396450446971629</x:v>
      </x:c>
    </x:row>
    <x:row r="8" ht="28" customHeight="1">
      <x:c r="A8" t="str">
        <x:f>'編碼拆解'!A6</x:f>
        <x:v>音樂 WAV</x:v>
      </x:c>
      <x:c r="B8" s="6" t="n">
        <x:f>'編碼拆解'!D6</x:f>
        <x:v>1764000</x:v>
      </x:c>
      <x:c r="C8" s="6" t="n">
        <x:f>'編碼拆解'!E6</x:f>
        <x:v>63954</x:v>
      </x:c>
      <x:c r="D8" s="4" t="n">
        <x:f>'編碼拆解'!F6</x:f>
        <x:v>15.298</x:v>
      </x:c>
      <x:c r="E8" s="4" t="n">
        <x:f>'編碼拆解'!G6</x:f>
        <x:v>15.3296</x:v>
      </x:c>
      <x:c r="F8" s="2" t="n">
        <x:f>'編碼拆解'!P6</x:f>
        <x:v>0.9580900918469271</x:v>
      </x:c>
      <x:c r="G8" s="2" t="n">
        <x:f>'編碼拆解'!Q6</x:f>
        <x:v>1.084999790252049</x:v>
      </x:c>
      <x:c r="H8" s="2" t="n">
        <x:f>'編碼拆解'!R6</x:f>
        <x:v>1.0850964443754103</x:v>
      </x:c>
    </x:row>
    <x:row r="9" ht="28" customHeight="1">
      <x:c r="A9" t="str">
        <x:f>'編碼拆解'!A8</x:f>
        <x:v>雜訊 WAV</x:v>
      </x:c>
      <x:c r="B9" s="6" t="n">
        <x:f>'編碼拆解'!D8</x:f>
        <x:v>560000</x:v>
      </x:c>
      <x:c r="C9" s="6" t="n">
        <x:f>'編碼拆解'!E8</x:f>
        <x:v>65522</x:v>
      </x:c>
      <x:c r="D9" s="4" t="n">
        <x:f>'編碼拆解'!F8</x:f>
        <x:v>15.9135</x:v>
      </x:c>
      <x:c r="E9" s="4" t="n">
        <x:f>'編碼拆解'!G8</x:f>
        <x:v>15.9445</x:v>
      </x:c>
      <x:c r="F9" s="2" t="n">
        <x:f>'編碼拆解'!P8</x:f>
        <x:v>0.996489423629786</x:v>
      </x:c>
      <x:c r="G9" s="2" t="n">
        <x:f>'編碼拆解'!Q8</x:f>
        <x:v>1.4060438697051187</x:v>
      </x:c>
      <x:c r="H9" s="2" t="n">
        <x:f>'編碼拆解'!R8</x:f>
        <x:v>1.4061929709904253</x:v>
      </x:c>
    </x:row>
    <x:row r="12">
      <x:c r="A12" s="27" t="str">
        <x:v>觀察重點（根據目前四份正式檔案）</x:v>
      </x:c>
      <x:c r="B12" s="27"/>
      <x:c r="C12" s="27"/>
      <x:c r="D12" s="27"/>
      <x:c r="E12" s="27"/>
      <x:c r="F12" s="27"/>
      <x:c r="G12" s="27"/>
      <x:c r="H12" s="27"/>
    </x:row>
    <x:row r="13" ht="24" customHeight="1">
      <x:c r="A13" s="30" t="str">
        <x:v>中文 CHAR：373 種符號，Codebook 只有 3,357 B；壓縮後上線比例約 32.39%。</x:v>
      </x:c>
      <x:c r="B13" s="30"/>
      <x:c r="C13" s="30"/>
      <x:c r="D13" s="30"/>
      <x:c r="E13" s="30"/>
      <x:c r="F13" s="30"/>
      <x:c r="G13" s="30"/>
      <x:c r="H13" s="30"/>
    </x:row>
    <x:row r="14" ht="24" customHeight="1">
      <x:c r="A14" s="30" t="str">
        <x:v>英文 CHAR：與 BYTE 的實際壓縮效果相近，但 CHAR 略小。</x:v>
      </x:c>
      <x:c r="B14" s="30"/>
      <x:c r="C14" s="30"/>
      <x:c r="D14" s="30"/>
      <x:c r="E14" s="30"/>
      <x:c r="F14" s="30"/>
      <x:c r="G14" s="30"/>
      <x:c r="H14" s="30"/>
    </x:row>
    <x:row r="15" ht="24" customHeight="1">
      <x:c r="A15" s="30" t="str">
        <x:v>音樂 WAV S16：Codebook 447,678 B，使上線資料大於原檔；BYTE 反而更省。</x:v>
      </x:c>
      <x:c r="B15" s="30"/>
      <x:c r="C15" s="30"/>
      <x:c r="D15" s="30"/>
      <x:c r="E15" s="30"/>
      <x:c r="F15" s="30"/>
      <x:c r="G15" s="30"/>
      <x:c r="H15" s="30"/>
    </x:row>
    <x:row r="16" ht="24" customHeight="1">
      <x:c r="A16" s="30" t="str">
        <x:v>雜訊 WAV S16：H≈15.9135，接近 16-bit 最大熵；Codebook 458,654 B，傳輸膨脹。</x:v>
      </x:c>
      <x:c r="B16" s="30"/>
      <x:c r="C16" s="30"/>
      <x:c r="D16" s="30"/>
      <x:c r="E16" s="30"/>
      <x:c r="F16" s="30"/>
      <x:c r="G16" s="30"/>
      <x:c r="H16" s="30"/>
    </x:row>
    <x:row r="17" ht="24" customHeight="1">
      <x:c r="A17" s="30" t="str">
        <x:v>注意：Wire bytes 僅原生符號模式有 localhost 實測值；BYTE 對照只測 C 編碼器，不能填入假想 Wire bytes。</x:v>
      </x:c>
      <x:c r="B17" s="30"/>
      <x:c r="C17" s="30"/>
      <x:c r="D17" s="30"/>
      <x:c r="E17" s="30"/>
      <x:c r="F17" s="30"/>
      <x:c r="G17" s="30"/>
      <x:c r="H17" s="30"/>
    </x:row>
  </x:sheetData>
  <x:mergeCells>
    <x:mergeCell ref="A1:H2"/>
    <x:mergeCell ref="A3:H3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  <x:drawing xmlns:r="http://schemas.openxmlformats.org/officeDocument/2006/relationships" r:id="Re619880c8dc2472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 ht="34" customHeight="1">
      <x:c r="A1" s="10" t="str">
        <x:v>檔案</x:v>
      </x:c>
      <x:c r="B1" s="10" t="str">
        <x:v>符號模式</x:v>
      </x:c>
      <x:c r="C1" s="10" t="str">
        <x:v>原始 bytes</x:v>
      </x:c>
      <x:c r="D1" s="10" t="str">
        <x:v>N 符號總數</x:v>
      </x:c>
      <x:c r="E1" s="10" t="str">
        <x:v>K 種類</x:v>
      </x:c>
      <x:c r="F1" s="10" t="str">
        <x:v>H bits/符號</x:v>
      </x:c>
      <x:c r="G1" s="10" t="str">
        <x:v>L bits/符號</x:v>
      </x:c>
      <x:c r="H1" s="10" t="str">
        <x:v>Bitstream bytes</x:v>
      </x:c>
      <x:c r="I1" s="10" t="str">
        <x:v>Codebook bytes</x:v>
      </x:c>
      <x:c r="J1" s="10" t="str">
        <x:v>固定標頭 bytes</x:v>
      </x:c>
      <x:c r="K1" s="10" t="str">
        <x:v>WAV 額外 bytes</x:v>
      </x:c>
      <x:c r="L1" s="10" t="str">
        <x:v>Encoded bytes</x:v>
      </x:c>
      <x:c r="M1" s="10" t="str">
        <x:v>Wire bytes</x:v>
      </x:c>
      <x:c r="N1" s="10" t="str">
        <x:v>Frame 開銷</x:v>
      </x:c>
      <x:c r="O1" s="10" t="str">
        <x:v>熵理論比例</x:v>
      </x:c>
      <x:c r="P1" s="10" t="str">
        <x:v>純 Bitstream 比例</x:v>
      </x:c>
      <x:c r="Q1" s="10" t="str">
        <x:v>完整編碼比例</x:v>
      </x:c>
      <x:c r="R1" s="10" t="str">
        <x:v>實際上線比例</x:v>
      </x:c>
      <x:c r="S1" s="10" t="str">
        <x:v>Codebook / 原檔</x:v>
      </x:c>
      <x:c r="T1" s="10" t="str">
        <x:v>H≤L&lt;H+1</x:v>
      </x:c>
    </x:row>
    <x:row r="2" ht="23" customHeight="1">
      <x:c r="A2" t="str">
        <x:v>中文文章</x:v>
      </x:c>
      <x:c r="B2" t="str">
        <x:v>CHAR</x:v>
      </x:c>
      <x:c r="C2" s="6" t="n">
        <x:v>1200335</x:v>
      </x:c>
      <x:c r="D2" s="6" t="n">
        <x:v>403185</x:v>
      </x:c>
      <x:c r="E2" s="6" t="n">
        <x:v>373</x:v>
      </x:c>
      <x:c r="F2" s="4" t="n">
        <x:v>7.602</x:v>
      </x:c>
      <x:c r="G2" s="4" t="n">
        <x:v>7.646</x:v>
      </x:c>
      <x:c r="H2" s="6" t="n">
        <x:v>385343</x:v>
      </x:c>
      <x:c r="I2" s="6" t="n">
        <x:v>3357</x:v>
      </x:c>
      <x:c r="J2" s="6" t="n">
        <x:v>13</x:v>
      </x:c>
      <x:c r="K2" s="6" t="n">
        <x:v>0</x:v>
      </x:c>
      <x:c r="L2" s="6" t="n">
        <x:v>388713</x:v>
      </x:c>
      <x:c r="M2" s="6" t="n">
        <x:v>388786</x:v>
      </x:c>
      <x:c r="N2" s="6" t="n">
        <x:f>IF(M2="","",M2-L2)</x:f>
        <x:v>73</x:v>
      </x:c>
      <x:c r="O2" s="2" t="n">
        <x:f>F2*D2/8/C2</x:f>
        <x:v>0.31918301661619464</x:v>
      </x:c>
      <x:c r="P2" s="2" t="n">
        <x:f>H2/C2</x:f>
        <x:v>0.3210295459184311</x:v>
      </x:c>
      <x:c r="Q2" s="2" t="n">
        <x:f>L2/C2</x:f>
        <x:v>0.32383709547751255</x:v>
      </x:c>
      <x:c r="R2" s="2" t="n">
        <x:f>IF(M2="","",M2/C2)</x:f>
        <x:v>0.32389791183294664</x:v>
      </x:c>
      <x:c r="S2" s="2" t="n">
        <x:f>I2/C2</x:f>
        <x:v>0.0027967192492095957</x:v>
      </x:c>
      <x:c r="T2" t="str">
        <x:f>IF(AND(F2&lt;=G2,G2&lt;F2+1),"PASS","CHECK")</x:f>
        <x:v>PASS</x:v>
      </x:c>
    </x:row>
    <x:row r="3" ht="23" customHeight="1">
      <x:c r="A3" t="str">
        <x:v>中文文章</x:v>
      </x:c>
      <x:c r="B3" t="str">
        <x:v>BYTE</x:v>
      </x:c>
      <x:c r="C3" s="6" t="n">
        <x:v>1200335</x:v>
      </x:c>
      <x:c r="D3" s="6" t="n">
        <x:v>1200335</x:v>
      </x:c>
      <x:c r="E3" s="6" t="n">
        <x:v>74</x:v>
      </x:c>
      <x:c r="F3" s="4" t="n">
        <x:v>5.6989</x:v>
      </x:c>
      <x:c r="G3" s="4" t="n">
        <x:v>5.73</x:v>
      </x:c>
      <x:c r="H3" s="6" t="n">
        <x:v>859738</x:v>
      </x:c>
      <x:c r="I3" s="6" t="n">
        <x:v>444</x:v>
      </x:c>
      <x:c r="J3" s="6" t="n">
        <x:v>13</x:v>
      </x:c>
      <x:c r="K3" s="6" t="n">
        <x:v>0</x:v>
      </x:c>
      <x:c r="L3" s="6" t="n">
        <x:v>860195</x:v>
      </x:c>
      <x:c r="M3" s="6"/>
      <x:c r="N3" s="6" t="str">
        <x:f>IF(M3="","",M3-L3)</x:f>
      </x:c>
      <x:c r="O3" s="2" t="n">
        <x:f>F3*D3/8/C3</x:f>
        <x:v>0.7123625</x:v>
      </x:c>
      <x:c r="P3" s="2" t="n">
        <x:f>H3/C3</x:f>
        <x:v>0.716248380660399</x:v>
      </x:c>
      <x:c r="Q3" s="2" t="n">
        <x:f>L3/C3</x:f>
        <x:v>0.7166291077074317</x:v>
      </x:c>
      <x:c r="R3" s="2" t="str">
        <x:f>IF(M3="","",M3/C3)</x:f>
      </x:c>
      <x:c r="S3" s="2" t="n">
        <x:f>I3/C3</x:f>
        <x:v>0.00036989673716087594</x:v>
      </x:c>
      <x:c r="T3" t="str">
        <x:f>IF(AND(F3&lt;=G3,G3&lt;F3+1),"PASS","CHECK")</x:f>
        <x:v>PASS</x:v>
      </x:c>
    </x:row>
    <x:row r="4" ht="23" customHeight="1">
      <x:c r="A4" t="str">
        <x:v>英文文章</x:v>
      </x:c>
      <x:c r="B4" t="str">
        <x:v>CHAR</x:v>
      </x:c>
      <x:c r="C4" s="6" t="n">
        <x:v>1258581</x:v>
      </x:c>
      <x:c r="D4" s="6" t="n">
        <x:v>1256253</x:v>
      </x:c>
      <x:c r="E4" s="6" t="n">
        <x:v>57</x:v>
      </x:c>
      <x:c r="F4" s="4" t="n">
        <x:v>4.3054</x:v>
      </x:c>
      <x:c r="G4" s="4" t="n">
        <x:v>4.3212</x:v>
      </x:c>
      <x:c r="H4" s="6" t="n">
        <x:v>678563</x:v>
      </x:c>
      <x:c r="I4" s="6" t="n">
        <x:v>513</x:v>
      </x:c>
      <x:c r="J4" s="6" t="n">
        <x:v>13</x:v>
      </x:c>
      <x:c r="K4" s="6" t="n">
        <x:v>0</x:v>
      </x:c>
      <x:c r="L4" s="6" t="n">
        <x:v>679089</x:v>
      </x:c>
      <x:c r="M4" s="6" t="n">
        <x:v>679187</x:v>
      </x:c>
      <x:c r="N4" s="6" t="n">
        <x:f>IF(M4="","",M4-L4)</x:f>
        <x:v>98</x:v>
      </x:c>
      <x:c r="O4" s="2" t="n">
        <x:f>F4*D4/8/C4</x:f>
        <x:v>0.5371795365375768</x:v>
      </x:c>
      <x:c r="P4" s="2" t="n">
        <x:f>H4/C4</x:f>
        <x:v>0.5391492482406774</x:v>
      </x:c>
      <x:c r="Q4" s="2" t="n">
        <x:f>L4/C4</x:f>
        <x:v>0.5395671792280354</x:v>
      </x:c>
      <x:c r="R4" s="2" t="n">
        <x:f>IF(M4="","",M4/C4)</x:f>
        <x:v>0.5396450446971629</x:v>
      </x:c>
      <x:c r="S4" s="2" t="n">
        <x:f>I4/C4</x:f>
        <x:v>0.0004076018945145366</x:v>
      </x:c>
      <x:c r="T4" t="str">
        <x:f>IF(AND(F4&lt;=G4,G4&lt;F4+1),"PASS","CHECK")</x:f>
        <x:v>PASS</x:v>
      </x:c>
    </x:row>
    <x:row r="5" ht="23" customHeight="1">
      <x:c r="A5" t="str">
        <x:v>英文文章</x:v>
      </x:c>
      <x:c r="B5" t="str">
        <x:v>BYTE</x:v>
      </x:c>
      <x:c r="C5" s="6" t="n">
        <x:v>1258581</x:v>
      </x:c>
      <x:c r="D5" s="6" t="n">
        <x:v>1258581</x:v>
      </x:c>
      <x:c r="E5" s="6" t="n">
        <x:v>59</x:v>
      </x:c>
      <x:c r="F5" s="4" t="n">
        <x:v>4.3188</x:v>
      </x:c>
      <x:c r="G5" s="4" t="n">
        <x:v>4.3347</x:v>
      </x:c>
      <x:c r="H5" s="6" t="n">
        <x:v>681952</x:v>
      </x:c>
      <x:c r="I5" s="6" t="n">
        <x:v>354</x:v>
      </x:c>
      <x:c r="J5" s="6" t="n">
        <x:v>13</x:v>
      </x:c>
      <x:c r="K5" s="6" t="n">
        <x:v>0</x:v>
      </x:c>
      <x:c r="L5" s="6" t="n">
        <x:v>682319</x:v>
      </x:c>
      <x:c r="M5" s="6"/>
      <x:c r="N5" s="6" t="str">
        <x:f>IF(M5="","",M5-L5)</x:f>
      </x:c>
      <x:c r="O5" s="2" t="n">
        <x:f>F5*D5/8/C5</x:f>
        <x:v>0.53985</x:v>
      </x:c>
      <x:c r="P5" s="2" t="n">
        <x:f>H5/C5</x:f>
        <x:v>0.541841963290404</x:v>
      </x:c>
      <x:c r="Q5" s="2" t="n">
        <x:f>L5/C5</x:f>
        <x:v>0.5421335615268306</x:v>
      </x:c>
      <x:c r="R5" s="2" t="str">
        <x:f>IF(M5="","",M5/C5)</x:f>
      </x:c>
      <x:c r="S5" s="2" t="n">
        <x:f>I5/C5</x:f>
        <x:v>0.0002812691435831305</x:v>
      </x:c>
      <x:c r="T5" t="str">
        <x:f>IF(AND(F5&lt;=G5,G5&lt;F5+1),"PASS","CHECK")</x:f>
        <x:v>PASS</x:v>
      </x:c>
    </x:row>
    <x:row r="6" ht="23" customHeight="1">
      <x:c r="A6" t="str">
        <x:v>音樂 WAV</x:v>
      </x:c>
      <x:c r="B6" t="str">
        <x:v>S16</x:v>
      </x:c>
      <x:c r="C6" s="6" t="n">
        <x:v>3528044</x:v>
      </x:c>
      <x:c r="D6" s="6" t="n">
        <x:v>1764000</x:v>
      </x:c>
      <x:c r="E6" s="6" t="n">
        <x:v>63954</x:v>
      </x:c>
      <x:c r="F6" s="4" t="n">
        <x:v>15.298</x:v>
      </x:c>
      <x:c r="G6" s="4" t="n">
        <x:v>15.3296</x:v>
      </x:c>
      <x:c r="H6" s="6" t="n">
        <x:v>3380184</x:v>
      </x:c>
      <x:c r="I6" s="6" t="n">
        <x:v>447678</x:v>
      </x:c>
      <x:c r="J6" s="6" t="n">
        <x:v>13</x:v>
      </x:c>
      <x:c r="K6" s="6" t="n">
        <x:v>52</x:v>
      </x:c>
      <x:c r="L6" s="6" t="n">
        <x:v>3827927</x:v>
      </x:c>
      <x:c r="M6" s="6" t="n">
        <x:v>3828268</x:v>
      </x:c>
      <x:c r="N6" s="6" t="n">
        <x:f>IF(M6="","",M6-L6)</x:f>
        <x:v>341</x:v>
      </x:c>
      <x:c r="O6" s="2" t="n">
        <x:f>F6*D6/8/C6</x:f>
        <x:v>0.9561130756872647</x:v>
      </x:c>
      <x:c r="P6" s="2" t="n">
        <x:f>H6/C6</x:f>
        <x:v>0.9580900918469271</x:v>
      </x:c>
      <x:c r="Q6" s="2" t="n">
        <x:f>L6/C6</x:f>
        <x:v>1.084999790252049</x:v>
      </x:c>
      <x:c r="R6" s="2" t="n">
        <x:f>IF(M6="","",M6/C6)</x:f>
        <x:v>1.0850964443754103</x:v>
      </x:c>
      <x:c r="S6" s="2" t="n">
        <x:f>I6/C6</x:f>
        <x:v>0.12689127459861613</x:v>
      </x:c>
      <x:c r="T6" t="str">
        <x:f>IF(AND(F6&lt;=G6,G6&lt;F6+1),"PASS","CHECK")</x:f>
        <x:v>PASS</x:v>
      </x:c>
    </x:row>
    <x:row r="7" ht="23" customHeight="1">
      <x:c r="A7" t="str">
        <x:v>音樂 WAV</x:v>
      </x:c>
      <x:c r="B7" t="str">
        <x:v>BYTE</x:v>
      </x:c>
      <x:c r="C7" s="6" t="n">
        <x:v>3528044</x:v>
      </x:c>
      <x:c r="D7" s="6" t="n">
        <x:v>3528044</x:v>
      </x:c>
      <x:c r="E7" s="6" t="n">
        <x:v>256</x:v>
      </x:c>
      <x:c r="F7" s="4" t="n">
        <x:v>7.8407</x:v>
      </x:c>
      <x:c r="G7" s="4" t="n">
        <x:v>7.8676</x:v>
      </x:c>
      <x:c r="H7" s="6" t="n">
        <x:v>3469654</x:v>
      </x:c>
      <x:c r="I7" s="6" t="n">
        <x:v>1536</x:v>
      </x:c>
      <x:c r="J7" s="6" t="n">
        <x:v>13</x:v>
      </x:c>
      <x:c r="K7" s="6" t="n">
        <x:v>0</x:v>
      </x:c>
      <x:c r="L7" s="6" t="n">
        <x:v>3471203</x:v>
      </x:c>
      <x:c r="M7" s="6"/>
      <x:c r="N7" s="6" t="str">
        <x:f>IF(M7="","",M7-L7)</x:f>
      </x:c>
      <x:c r="O7" s="2" t="n">
        <x:f>F7*D7/8/C7</x:f>
        <x:v>0.9800875</x:v>
      </x:c>
      <x:c r="P7" s="2" t="n">
        <x:f>H7/C7</x:f>
        <x:v>0.9834497528942383</x:v>
      </x:c>
      <x:c r="Q7" s="2" t="n">
        <x:f>L7/C7</x:f>
        <x:v>0.9838888063754307</x:v>
      </x:c>
      <x:c r="R7" s="2" t="str">
        <x:f>IF(M7="","",M7/C7)</x:f>
      </x:c>
      <x:c r="S7" s="2" t="n">
        <x:f>I7/C7</x:f>
        <x:v>0.0004353687198912485</x:v>
      </x:c>
      <x:c r="T7" t="str">
        <x:f>IF(AND(F7&lt;=G7,G7&lt;F7+1),"PASS","CHECK")</x:f>
        <x:v>PASS</x:v>
      </x:c>
    </x:row>
    <x:row r="8" ht="23" customHeight="1">
      <x:c r="A8" t="str">
        <x:v>雜訊 WAV</x:v>
      </x:c>
      <x:c r="B8" t="str">
        <x:v>S16</x:v>
      </x:c>
      <x:c r="C8" s="6" t="n">
        <x:v>1120044</x:v>
      </x:c>
      <x:c r="D8" s="6" t="n">
        <x:v>560000</x:v>
      </x:c>
      <x:c r="E8" s="6" t="n">
        <x:v>65522</x:v>
      </x:c>
      <x:c r="F8" s="4" t="n">
        <x:v>15.9135</x:v>
      </x:c>
      <x:c r="G8" s="4" t="n">
        <x:v>15.9445</x:v>
      </x:c>
      <x:c r="H8" s="6" t="n">
        <x:v>1116112</x:v>
      </x:c>
      <x:c r="I8" s="6" t="n">
        <x:v>458654</x:v>
      </x:c>
      <x:c r="J8" s="6" t="n">
        <x:v>13</x:v>
      </x:c>
      <x:c r="K8" s="6" t="n">
        <x:v>52</x:v>
      </x:c>
      <x:c r="L8" s="6" t="n">
        <x:v>1574831</x:v>
      </x:c>
      <x:c r="M8" s="6" t="n">
        <x:v>1574998</x:v>
      </x:c>
      <x:c r="N8" s="6" t="n">
        <x:f>IF(M8="","",M8-L8)</x:f>
        <x:v>167</x:v>
      </x:c>
      <x:c r="O8" s="2" t="n">
        <x:f>F8*D8/8/C8</x:f>
        <x:v>0.9945546782090704</x:v>
      </x:c>
      <x:c r="P8" s="2" t="n">
        <x:f>H8/C8</x:f>
        <x:v>0.996489423629786</x:v>
      </x:c>
      <x:c r="Q8" s="2" t="n">
        <x:f>L8/C8</x:f>
        <x:v>1.4060438697051187</x:v>
      </x:c>
      <x:c r="R8" s="2" t="n">
        <x:f>IF(M8="","",M8/C8)</x:f>
        <x:v>1.4061929709904253</x:v>
      </x:c>
      <x:c r="S8" s="2" t="n">
        <x:f>I8/C8</x:f>
        <x:v>0.40949641264093195</x:v>
      </x:c>
      <x:c r="T8" t="str">
        <x:f>IF(AND(F8&lt;=G8,G8&lt;F8+1),"PASS","CHECK")</x:f>
        <x:v>PASS</x:v>
      </x:c>
    </x:row>
    <x:row r="9" ht="23" customHeight="1">
      <x:c r="A9" t="str">
        <x:v>雜訊 WAV</x:v>
      </x:c>
      <x:c r="B9" t="str">
        <x:v>BYTE</x:v>
      </x:c>
      <x:c r="C9" s="6" t="n">
        <x:v>1120044</x:v>
      </x:c>
      <x:c r="D9" s="6" t="n">
        <x:v>1120044</x:v>
      </x:c>
      <x:c r="E9" s="6" t="n">
        <x:v>256</x:v>
      </x:c>
      <x:c r="F9" s="4" t="n">
        <x:v>7.9998</x:v>
      </x:c>
      <x:c r="G9" s="4" t="n">
        <x:v>8</x:v>
      </x:c>
      <x:c r="H9" s="6" t="n">
        <x:v>1120044</x:v>
      </x:c>
      <x:c r="I9" s="6" t="n">
        <x:v>1536</x:v>
      </x:c>
      <x:c r="J9" s="6" t="n">
        <x:v>13</x:v>
      </x:c>
      <x:c r="K9" s="6" t="n">
        <x:v>0</x:v>
      </x:c>
      <x:c r="L9" s="6" t="n">
        <x:v>1121593</x:v>
      </x:c>
      <x:c r="M9" s="6"/>
      <x:c r="N9" s="6" t="str">
        <x:f>IF(M9="","",M9-L9)</x:f>
      </x:c>
      <x:c r="O9" s="2" t="n">
        <x:f>F9*D9/8/C9</x:f>
        <x:v>0.9999750000000001</x:v>
      </x:c>
      <x:c r="P9" s="2" t="n">
        <x:f>H9/C9</x:f>
        <x:v>1</x:v>
      </x:c>
      <x:c r="Q9" s="2" t="n">
        <x:f>L9/C9</x:f>
        <x:v>1.0013829813828743</x:v>
      </x:c>
      <x:c r="R9" s="2" t="str">
        <x:f>IF(M9="","",M9/C9)</x:f>
      </x:c>
      <x:c r="S9" s="2" t="n">
        <x:f>I9/C9</x:f>
        <x:v>0.001371374695994086</x:v>
      </x:c>
      <x:c r="T9" t="str">
        <x:f>IF(AND(F9&lt;=G9,G9&lt;F9+1),"PASS","CHECK")</x:f>
        <x:v>PASS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32" t="str">
        <x:v>符號定義比較｜CHAR / S16 vs BYTE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32"/>
      <x:c r="B2" s="32"/>
      <x:c r="C2" s="32"/>
      <x:c r="D2" s="32"/>
      <x:c r="E2" s="32"/>
      <x:c r="F2" s="32"/>
      <x:c r="G2" s="32"/>
      <x:c r="H2" s="32"/>
      <x:c r="I2" s="32"/>
      <x:c r="J2" s="32"/>
    </x:row>
    <x:row r="4" ht="35" customHeight="1">
      <x:c r="A4" s="22" t="str">
        <x:v>檔案</x:v>
      </x:c>
      <x:c r="B4" s="22" t="str">
        <x:v>原生模式</x:v>
      </x:c>
      <x:c r="C4" s="22" t="str">
        <x:v>原生 H</x:v>
      </x:c>
      <x:c r="D4" s="22" t="str">
        <x:v>BYTE H</x:v>
      </x:c>
      <x:c r="E4" s="22" t="str">
        <x:v>原生 L</x:v>
      </x:c>
      <x:c r="F4" s="22" t="str">
        <x:v>BYTE L</x:v>
      </x:c>
      <x:c r="G4" s="22" t="str">
        <x:v>原生 Encoded bytes</x:v>
      </x:c>
      <x:c r="H4" s="22" t="str">
        <x:v>BYTE Encoded bytes</x:v>
      </x:c>
      <x:c r="I4" s="22" t="str">
        <x:v>原生編碼比例</x:v>
      </x:c>
      <x:c r="J4" s="22" t="str">
        <x:v>BYTE 編碼比例</x:v>
      </x:c>
    </x:row>
    <x:row r="5">
      <x:c r="A5" t="str">
        <x:f>'編碼拆解'!A2</x:f>
        <x:v>中文文章</x:v>
      </x:c>
      <x:c r="B5" t="str">
        <x:f>'編碼拆解'!B2</x:f>
        <x:v>CHAR</x:v>
      </x:c>
      <x:c r="C5" s="4" t="n">
        <x:f>'編碼拆解'!F2</x:f>
        <x:v>7.602</x:v>
      </x:c>
      <x:c r="D5" s="4" t="n">
        <x:f>'編碼拆解'!F3</x:f>
        <x:v>5.6989</x:v>
      </x:c>
      <x:c r="E5" s="4" t="n">
        <x:f>'編碼拆解'!G2</x:f>
        <x:v>7.646</x:v>
      </x:c>
      <x:c r="F5" s="4" t="n">
        <x:f>'編碼拆解'!G3</x:f>
        <x:v>5.73</x:v>
      </x:c>
      <x:c r="G5" s="6" t="n">
        <x:f>'編碼拆解'!L2</x:f>
        <x:v>388713</x:v>
      </x:c>
      <x:c r="H5" s="6" t="n">
        <x:f>'編碼拆解'!L3</x:f>
        <x:v>860195</x:v>
      </x:c>
      <x:c r="I5" s="2" t="n">
        <x:f>'編碼拆解'!Q2</x:f>
        <x:v>0.32383709547751255</x:v>
      </x:c>
      <x:c r="J5" s="2" t="n">
        <x:f>'編碼拆解'!Q3</x:f>
        <x:v>0.7166291077074317</x:v>
      </x:c>
    </x:row>
    <x:row r="6">
      <x:c r="A6" t="str">
        <x:f>'編碼拆解'!A4</x:f>
        <x:v>英文文章</x:v>
      </x:c>
      <x:c r="B6" t="str">
        <x:f>'編碼拆解'!B4</x:f>
        <x:v>CHAR</x:v>
      </x:c>
      <x:c r="C6" s="4" t="n">
        <x:f>'編碼拆解'!F4</x:f>
        <x:v>4.3054</x:v>
      </x:c>
      <x:c r="D6" s="4" t="n">
        <x:f>'編碼拆解'!F5</x:f>
        <x:v>4.3188</x:v>
      </x:c>
      <x:c r="E6" s="4" t="n">
        <x:f>'編碼拆解'!G4</x:f>
        <x:v>4.3212</x:v>
      </x:c>
      <x:c r="F6" s="4" t="n">
        <x:f>'編碼拆解'!G5</x:f>
        <x:v>4.3347</x:v>
      </x:c>
      <x:c r="G6" s="6" t="n">
        <x:f>'編碼拆解'!L4</x:f>
        <x:v>679089</x:v>
      </x:c>
      <x:c r="H6" s="6" t="n">
        <x:f>'編碼拆解'!L5</x:f>
        <x:v>682319</x:v>
      </x:c>
      <x:c r="I6" s="2" t="n">
        <x:f>'編碼拆解'!Q4</x:f>
        <x:v>0.5395671792280354</x:v>
      </x:c>
      <x:c r="J6" s="2" t="n">
        <x:f>'編碼拆解'!Q5</x:f>
        <x:v>0.5421335615268306</x:v>
      </x:c>
    </x:row>
    <x:row r="7">
      <x:c r="A7" t="str">
        <x:f>'編碼拆解'!A6</x:f>
        <x:v>音樂 WAV</x:v>
      </x:c>
      <x:c r="B7" t="str">
        <x:f>'編碼拆解'!B6</x:f>
        <x:v>S16</x:v>
      </x:c>
      <x:c r="C7" s="4" t="n">
        <x:f>'編碼拆解'!F6</x:f>
        <x:v>15.298</x:v>
      </x:c>
      <x:c r="D7" s="4" t="n">
        <x:f>'編碼拆解'!F7</x:f>
        <x:v>7.8407</x:v>
      </x:c>
      <x:c r="E7" s="4" t="n">
        <x:f>'編碼拆解'!G6</x:f>
        <x:v>15.3296</x:v>
      </x:c>
      <x:c r="F7" s="4" t="n">
        <x:f>'編碼拆解'!G7</x:f>
        <x:v>7.8676</x:v>
      </x:c>
      <x:c r="G7" s="6" t="n">
        <x:f>'編碼拆解'!L6</x:f>
        <x:v>3827927</x:v>
      </x:c>
      <x:c r="H7" s="6" t="n">
        <x:f>'編碼拆解'!L7</x:f>
        <x:v>3471203</x:v>
      </x:c>
      <x:c r="I7" s="2" t="n">
        <x:f>'編碼拆解'!Q6</x:f>
        <x:v>1.084999790252049</x:v>
      </x:c>
      <x:c r="J7" s="2" t="n">
        <x:f>'編碼拆解'!Q7</x:f>
        <x:v>0.9838888063754307</x:v>
      </x:c>
    </x:row>
    <x:row r="8">
      <x:c r="A8" t="str">
        <x:f>'編碼拆解'!A8</x:f>
        <x:v>雜訊 WAV</x:v>
      </x:c>
      <x:c r="B8" t="str">
        <x:f>'編碼拆解'!B8</x:f>
        <x:v>S16</x:v>
      </x:c>
      <x:c r="C8" s="4" t="n">
        <x:f>'編碼拆解'!F8</x:f>
        <x:v>15.9135</x:v>
      </x:c>
      <x:c r="D8" s="4" t="n">
        <x:f>'編碼拆解'!F9</x:f>
        <x:v>7.9998</x:v>
      </x:c>
      <x:c r="E8" s="4" t="n">
        <x:f>'編碼拆解'!G8</x:f>
        <x:v>15.9445</x:v>
      </x:c>
      <x:c r="F8" s="4" t="n">
        <x:f>'編碼拆解'!G9</x:f>
        <x:v>8</x:v>
      </x:c>
      <x:c r="G8" s="6" t="n">
        <x:f>'編碼拆解'!L8</x:f>
        <x:v>1574831</x:v>
      </x:c>
      <x:c r="H8" s="6" t="n">
        <x:f>'編碼拆解'!L9</x:f>
        <x:v>1121593</x:v>
      </x:c>
      <x:c r="I8" s="2" t="n">
        <x:f>'編碼拆解'!Q8</x:f>
        <x:v>1.4060438697051187</x:v>
      </x:c>
      <x:c r="J8" s="2" t="n">
        <x:f>'編碼拆解'!Q9</x:f>
        <x:v>1.0013829813828743</x:v>
      </x:c>
    </x:row>
  </x:sheetData>
  <x:mergeCells>
    <x:mergeCell ref="A1:J2"/>
  </x:mergeCells>
  <x:pageMargins left="0.7" right="0.7" top="0.75" bottom="0.75" header="0.3" footer="0.3"/>
  <x:drawing xmlns:r="http://schemas.openxmlformats.org/officeDocument/2006/relationships" r:id="R86d2253636244ab1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1" hidden="0" customWidth="1"/>
    <x:col min="3" max="3" width="17" hidden="0" customWidth="1"/>
    <x:col min="4" max="4" width="64" hidden="0" customWidth="1"/>
  </x:cols>
  <x:sheetData>
    <x:row r="1" ht="28" customHeight="1">
      <x:c r="A1" s="9" t="str">
        <x:v>欄位 / 公式</x:v>
      </x:c>
      <x:c r="B1" s="9" t="str">
        <x:v>定義</x:v>
      </x:c>
      <x:c r="C1" s="9" t="str">
        <x:v>單位</x:v>
      </x:c>
      <x:c r="D1" s="9" t="str">
        <x:v>來源 / 限制</x:v>
      </x:c>
    </x:row>
    <x:row r="2" ht="42" customHeight="1">
      <x:c r="A2" s="34" t="str">
        <x:v>N</x:v>
      </x:c>
      <x:c r="B2" s="34" t="str">
        <x:v>實際統計的符號總數（CHAR 為 Unicode code point；S16 只含 WAV data 區 sample）</x:v>
      </x:c>
      <x:c r="C2" s="34" t="str">
        <x:v>符號</x:v>
      </x:c>
      <x:c r="D2" s="34" t="str">
        <x:v>compression_analysis.py；C 編碼檔 13-byte header 核對</x:v>
      </x:c>
    </x:row>
    <x:row r="3" ht="42" customHeight="1">
      <x:c r="A3" s="34" t="str">
        <x:v>K</x:v>
      </x:c>
      <x:c r="B3" s="34" t="str">
        <x:v>出現過的不同符號種類數</x:v>
      </x:c>
      <x:c r="C3" s="34" t="str">
        <x:v>種</x:v>
      </x:c>
      <x:c r="D3" s="34" t="str">
        <x:v>同上</x:v>
      </x:c>
    </x:row>
    <x:row r="4" ht="42" customHeight="1">
      <x:c r="A4" s="34" t="str">
        <x:v>H</x:v>
      </x:c>
      <x:c r="B4" s="34" t="str">
        <x:v>-Σ p(x) log₂p(x)，理論平均位元下限</x:v>
      </x:c>
      <x:c r="C4" s="34" t="str">
        <x:v>bits/符號</x:v>
      </x:c>
      <x:c r="D4" s="34" t="str">
        <x:v>Python 統計；原始 H 顯示到小數第 4 位</x:v>
      </x:c>
    </x:row>
    <x:row r="5" ht="42" customHeight="1">
      <x:c r="A5" s="34" t="str">
        <x:v>L</x:v>
      </x:c>
      <x:c r="B5" s="34" t="str">
        <x:v>Σ p(x) × Huffman 碼長(x)</x:v>
      </x:c>
      <x:c r="C5" s="34" t="str">
        <x:v>bits/符號</x:v>
      </x:c>
      <x:c r="D5" s="34" t="str">
        <x:v>Python 直接解析 C 輸出的 Codebook；顯示到第 4 位</x:v>
      </x:c>
    </x:row>
    <x:row r="6" ht="42" customHeight="1">
      <x:c r="A6" s="34" t="str">
        <x:v>H 與 L 的驗證</x:v>
      </x:c>
      <x:c r="B6" s="34" t="str">
        <x:v>H ≤ L &lt; H + 1</x:v>
      </x:c>
      <x:c r="C6" s="34" t="str">
        <x:v>布林</x:v>
      </x:c>
      <x:c r="D6" s="34" t="str">
        <x:v>八組均 PASS（基於呈現的四位小數）</x:v>
      </x:c>
    </x:row>
    <x:row r="7" ht="42" customHeight="1">
      <x:c r="A7" s="34" t="str">
        <x:v>熵理論比例</x:v>
      </x:c>
      <x:c r="B7" s="34" t="str">
        <x:v>H × N ÷ 8 ÷ 原始 bytes</x:v>
      </x:c>
      <x:c r="C7" s="34" t="str">
        <x:v>比例</x:v>
      </x:c>
      <x:c r="D7" s="34" t="str">
        <x:v>僅符號熵下限；WAV 非 sample header 不含在 H×N 中</x:v>
      </x:c>
    </x:row>
    <x:row r="8" ht="42" customHeight="1">
      <x:c r="A8" s="34" t="str">
        <x:v>純 Bitstream 比例</x:v>
      </x:c>
      <x:c r="B8" s="34" t="str">
        <x:v>Bitstream bytes ÷ 原始 bytes</x:v>
      </x:c>
      <x:c r="C8" s="34" t="str">
        <x:v>比例</x:v>
      </x:c>
      <x:c r="D8" s="34" t="str">
        <x:v>Bitstream bytes 包括最後 byte 的 0–7 padding bits</x:v>
      </x:c>
    </x:row>
    <x:row r="9" ht="42" customHeight="1">
      <x:c r="A9" s="34" t="str">
        <x:v>完整編碼比例</x:v>
      </x:c>
      <x:c r="B9" s="34" t="str">
        <x:v>Encoded bytes ÷ 原始 bytes</x:v>
      </x:c>
      <x:c r="C9" s="34" t="str">
        <x:v>比例</x:v>
      </x:c>
      <x:c r="D9" s="34" t="str">
        <x:v>含固定標頭、Codebook、WAV 額外 bytes 及 Bitstream</x:v>
      </x:c>
    </x:row>
    <x:row r="10" ht="42" customHeight="1">
      <x:c r="A10" s="34" t="str">
        <x:v>上線比例</x:v>
      </x:c>
      <x:c r="B10" s="34" t="str">
        <x:v>Wire bytes ÷ 原始 bytes</x:v>
      </x:c>
      <x:c r="C10" s="34" t="str">
        <x:v>比例</x:v>
      </x:c>
      <x:c r="D10" s="34" t="str">
        <x:v>原生模式的正式 localhost STATS；BYTE 對照沒有上線實測</x:v>
      </x:c>
    </x:row>
    <x:row r="11" ht="42" customHeight="1">
      <x:c r="A11" s="34" t="str">
        <x:v>Codebook 大小</x:v>
      </x:c>
      <x:c r="B11" s="34" t="str">
        <x:v>逐個 symbol + code length + code 位元值累加</x:v>
      </x:c>
      <x:c r="C11" s="34" t="str">
        <x:v>bytes</x:v>
      </x:c>
      <x:c r="D11" s="34" t="str">
        <x:v>直接解析 C 編碼結果（長度≤32 用 4 bytes，否則 8）</x:v>
      </x:c>
    </x:row>
    <x:row r="12" ht="42" customHeight="1">
      <x:c r="A12" s="34" t="str">
        <x:v>Encoded 組成</x:v>
      </x:c>
      <x:c r="B12" s="34" t="str">
        <x:v>13 + WAV 額外 bytes + Codebook + Bitstream</x:v>
      </x:c>
      <x:c r="C12" s="34" t="str">
        <x:v>bytes</x:v>
      </x:c>
      <x:c r="D12" s="34" t="str">
        <x:v>八組均能完全相加還原 encoded bytes</x:v>
      </x:c>
    </x:row>
    <x:row r="13" ht="42" customHeight="1">
      <x:c r="A13" s="34" t="str">
        <x:v>Frame 開銷</x:v>
      </x:c>
      <x:c r="B13" s="34" t="str">
        <x:v>Wire bytes − Encoded bytes</x:v>
      </x:c>
      <x:c r="C13" s="34" t="str">
        <x:v>bytes</x:v>
      </x:c>
      <x:c r="D13" s="34" t="str">
        <x:v>包含整次傳輸的協定開銷；僅原生符號模式有數字</x:v>
      </x:c>
    </x:row>
    <x:row r="14" ht="42" customHeight="1">
      <x:c r="A14" s="34" t="str">
        <x:v>S16 WAV 額外</x:v>
      </x:c>
      <x:c r="B14" s="34" t="str">
        <x:v>8 bytes 長度資訊 + WAV data 前 Header + tail</x:v>
      </x:c>
      <x:c r="C14" s="34" t="str">
        <x:v>bytes</x:v>
      </x:c>
      <x:c r="D14" s="34" t="str">
        <x:v>本次兩份 S16 WAV 均為 52 bytes</x:v>
      </x:c>
    </x:row>
    <x:row r="15" ht="42" customHeight="1">
      <x:c r="A15" s="34" t="str">
        <x:v>數據來源</x:v>
      </x:c>
      <x:c r="B15" s="34" t="str">
        <x:v>四份 benchmark_real/；八個 benchmarks/encoded/*.bin；正式 STATS</x:v>
      </x:c>
      <x:c r="C15" s="34" t="str">
        <x:v>—</x:v>
      </x:c>
      <x:c r="D15" s="34" t="str">
        <x:v>使用者 2026-10-09/10 執行紀錄與分析器輸出</x:v>
      </x:c>
    </x:row>
    <x:row r="16" ht="42" customHeight="1">
      <x:c r="A16" s="34" t="str">
        <x:v>重要限制</x:v>
      </x:c>
      <x:c r="B16" s="34" t="str">
        <x:v>不代表雙機網路效能；不將兩端 total_ms 相加當成端到端延遲</x:v>
      </x:c>
      <x:c r="C16" s="34" t="str">
        <x:v>—</x:v>
      </x:c>
      <x:c r="D16" s="34" t="str">
        <x:v>本工作簿專用於資料分布、碼表及壓縮比例分析</x:v>
      </x:c>
    </x:row>
  </x:sheetData>
  <x:pageMargins left="0.7" right="0.7" top="0.75" bottom="0.75" header="0.3" footer="0.3"/>
</x:worksheet>
</file>